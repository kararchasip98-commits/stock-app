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Qais salem\Desktop\"/>
    </mc:Choice>
  </mc:AlternateContent>
  <xr:revisionPtr revIDLastSave="0" documentId="13_ncr:1_{C02F33F1-F5B4-436B-8E02-DB0707D2E7A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ali" sheetId="1" r:id="rId1"/>
    <sheet name="omer" sheetId="2" r:id="rId2"/>
    <sheet name="karar" sheetId="3" r:id="rId3"/>
    <sheet name="STOC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3" l="1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A2" i="1" a="1"/>
  <c r="A2" i="1" s="1"/>
  <c r="B2" i="1" s="1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A2" i="2" a="1"/>
  <c r="A2" i="2" s="1"/>
  <c r="B2" i="2" s="1"/>
  <c r="A2" i="3" a="1"/>
  <c r="A2" i="3" s="1"/>
  <c r="B2" i="3" s="1"/>
  <c r="B12" i="1" l="1"/>
  <c r="B4" i="1"/>
  <c r="B11" i="1"/>
  <c r="B3" i="1"/>
  <c r="B10" i="1"/>
  <c r="B29" i="3"/>
  <c r="B21" i="3"/>
  <c r="B13" i="3"/>
  <c r="B5" i="3"/>
  <c r="B9" i="2"/>
  <c r="B28" i="3"/>
  <c r="B20" i="3"/>
  <c r="B12" i="3"/>
  <c r="B4" i="3"/>
  <c r="B8" i="2"/>
  <c r="B27" i="3"/>
  <c r="B19" i="3"/>
  <c r="B11" i="3"/>
  <c r="B3" i="3"/>
  <c r="B7" i="2"/>
  <c r="B26" i="3"/>
  <c r="B18" i="3"/>
  <c r="B10" i="3"/>
  <c r="B9" i="1"/>
  <c r="B6" i="2"/>
  <c r="B25" i="3"/>
  <c r="B17" i="3"/>
  <c r="B9" i="3"/>
  <c r="B5" i="2"/>
  <c r="B8" i="1"/>
  <c r="B24" i="3"/>
  <c r="B16" i="3"/>
  <c r="B8" i="3"/>
  <c r="B4" i="2"/>
  <c r="B23" i="3"/>
  <c r="B15" i="3"/>
  <c r="B7" i="3"/>
  <c r="B3" i="2"/>
  <c r="B15" i="1"/>
  <c r="B7" i="1"/>
  <c r="B14" i="1"/>
  <c r="B6" i="1"/>
  <c r="B30" i="3"/>
  <c r="B22" i="3"/>
  <c r="B14" i="3"/>
  <c r="B6" i="3"/>
  <c r="B13" i="1"/>
  <c r="B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<sst xmlns="http://schemas.openxmlformats.org/spreadsheetml/2006/main" count="507" uniqueCount="291">
  <si>
    <t/>
  </si>
  <si>
    <t>TABLET</t>
  </si>
  <si>
    <t>Device</t>
  </si>
  <si>
    <t>FINGER PRINT</t>
  </si>
  <si>
    <t>PHONE</t>
  </si>
  <si>
    <t>Bluetooth Printer</t>
  </si>
  <si>
    <t xml:space="preserve">EV bulk printer
</t>
  </si>
  <si>
    <t>New Smart Terminal</t>
  </si>
  <si>
    <t>EVD</t>
  </si>
  <si>
    <t>EVD 2000</t>
  </si>
  <si>
    <t>EVD 5000</t>
  </si>
  <si>
    <t>EVD 10000</t>
  </si>
  <si>
    <t>EVD 15000</t>
  </si>
  <si>
    <t>EVD 25000</t>
  </si>
  <si>
    <t>EVD 30000</t>
  </si>
  <si>
    <t>EVD 35000</t>
  </si>
  <si>
    <t>EVD 50000</t>
  </si>
  <si>
    <t>EVD 100000</t>
  </si>
  <si>
    <t>EVD 5G New</t>
  </si>
  <si>
    <t>EVD 10G New</t>
  </si>
  <si>
    <t>EVD 40000</t>
  </si>
  <si>
    <t>Unlimited internet 40K IQD</t>
  </si>
  <si>
    <t>Zain 3GB</t>
  </si>
  <si>
    <t>EVBNDL25K</t>
  </si>
  <si>
    <t>EVBNDL35K</t>
  </si>
  <si>
    <t>EVD 3000</t>
  </si>
  <si>
    <t>EVD 6000</t>
  </si>
  <si>
    <t>EVD 18000</t>
  </si>
  <si>
    <t>Bikafi Bundle 6K</t>
  </si>
  <si>
    <t>EVBNDL12K</t>
  </si>
  <si>
    <t>EVBNDL50K</t>
  </si>
  <si>
    <t>EVDNITRO50K_250G</t>
  </si>
  <si>
    <t>EVD 70000</t>
  </si>
  <si>
    <t>MVD</t>
  </si>
  <si>
    <t>RC 5</t>
  </si>
  <si>
    <t>RC</t>
  </si>
  <si>
    <t>RC 10</t>
  </si>
  <si>
    <t>RC 25</t>
  </si>
  <si>
    <t>RC 35</t>
  </si>
  <si>
    <t>RC 50</t>
  </si>
  <si>
    <t>RC100</t>
  </si>
  <si>
    <t>RC 15</t>
  </si>
  <si>
    <t>RC 5G New</t>
  </si>
  <si>
    <t>RC 10G New</t>
  </si>
  <si>
    <t>RCBNDL25K</t>
  </si>
  <si>
    <t>RCBNDL35K</t>
  </si>
  <si>
    <t>RCBNDL12K</t>
  </si>
  <si>
    <t>RCBNDL50K</t>
  </si>
  <si>
    <t>ZAIN CONNECT</t>
  </si>
  <si>
    <t>SIM</t>
  </si>
  <si>
    <t>SIMSWAP</t>
  </si>
  <si>
    <t>zyara</t>
  </si>
  <si>
    <t>EZINF2DPACK</t>
  </si>
  <si>
    <t>EZINF2DPPACK</t>
  </si>
  <si>
    <t>EZINF2GPPACK</t>
  </si>
  <si>
    <t>EZINF2PPACK</t>
  </si>
  <si>
    <t>EZINF2PPPACK</t>
  </si>
  <si>
    <t>EZINF2GPACK</t>
  </si>
  <si>
    <t>EZINF2PACK</t>
  </si>
  <si>
    <t>ORYXSIM</t>
  </si>
  <si>
    <t>MFES</t>
  </si>
  <si>
    <t>Zain Prime</t>
  </si>
  <si>
    <t>VSALAMPACK</t>
  </si>
  <si>
    <t>HZ3DPPACK</t>
  </si>
  <si>
    <t>EZINF2SPPACK</t>
  </si>
  <si>
    <t>VS3ALAMPACK</t>
  </si>
  <si>
    <t>VS2ALAMPACK</t>
  </si>
  <si>
    <t>FZINF2 VG PACK 75000</t>
  </si>
  <si>
    <t>VSZORPACK</t>
  </si>
  <si>
    <t>EZALAM2PACK</t>
  </si>
  <si>
    <t>HZ3VCNTPACK</t>
  </si>
  <si>
    <t>ZYARA2_5GPACK</t>
  </si>
  <si>
    <t>ZCNCTRES1SIM</t>
  </si>
  <si>
    <t>ZCNCTRES2SIM</t>
  </si>
  <si>
    <t>ZCNCT3PACK</t>
  </si>
  <si>
    <t>EZYARA10KPACK</t>
  </si>
  <si>
    <t>EZYARA15KPACK</t>
  </si>
  <si>
    <t>EZYARA20KPACK</t>
  </si>
  <si>
    <t>QR-ORYXESIM</t>
  </si>
  <si>
    <t>RZYARADATA1PACK</t>
  </si>
  <si>
    <t>RZYARADATA2PACK</t>
  </si>
  <si>
    <t>ZYARADATA3PACK</t>
  </si>
  <si>
    <t>COMPZYARA1PACK</t>
  </si>
  <si>
    <t>ULZYARADATA2PACK</t>
  </si>
  <si>
    <t>ZAINFLEXPACK</t>
  </si>
  <si>
    <t>ZAINFLEXGPACK</t>
  </si>
  <si>
    <t>ZAINFLEXGPPACK</t>
  </si>
  <si>
    <t>ZAINFLEXPPACK</t>
  </si>
  <si>
    <t>ZAINFLEXPPPACK</t>
  </si>
  <si>
    <t>ZAINFLEXDPACK</t>
  </si>
  <si>
    <t>ZAINFLEXDPPACK</t>
  </si>
  <si>
    <t>ZAINFLEXS1PACK</t>
  </si>
  <si>
    <t>ZAINFLEXS2PACK</t>
  </si>
  <si>
    <t>ZAINFLEXS3PACK</t>
  </si>
  <si>
    <t>ZYARADAILYPACK</t>
  </si>
  <si>
    <t>QRESIM</t>
  </si>
  <si>
    <t>Vacant 1 (5000 IQD)</t>
  </si>
  <si>
    <t>Vacant SIM</t>
  </si>
  <si>
    <t>Vacant 2 (10000 IQD)</t>
  </si>
  <si>
    <t>Vacant 3 (15000 IQD)</t>
  </si>
  <si>
    <t>Vacant 4 (25000 IQD)</t>
  </si>
  <si>
    <t>Vacant 5 (35000 IQD)</t>
  </si>
  <si>
    <t>Vacant 6 (50000 IQD)</t>
  </si>
  <si>
    <t>WIFSIMM022T</t>
  </si>
  <si>
    <t>WIFI</t>
  </si>
  <si>
    <t>WIFISIM5336</t>
  </si>
  <si>
    <t>WFBT533</t>
  </si>
  <si>
    <t>ZAINFi2SIM</t>
  </si>
  <si>
    <t>ZAFi2FRE3MSIM</t>
  </si>
  <si>
    <t>RES-WLTSLT718</t>
  </si>
  <si>
    <t>RES2-WLTSLT718</t>
  </si>
  <si>
    <t>WIFI compensation</t>
  </si>
  <si>
    <t>ZF2B535-235ASIM</t>
  </si>
  <si>
    <t>RES1-WFM026TSIM3000</t>
  </si>
  <si>
    <t>RES2-ZF2B535-235ASIM</t>
  </si>
  <si>
    <t>ZF1E5783-230ASIM3000</t>
  </si>
  <si>
    <t>NAEM</t>
  </si>
  <si>
    <t>TYPE</t>
  </si>
  <si>
    <t>QYT</t>
  </si>
  <si>
    <t>NAME</t>
  </si>
  <si>
    <t>STOCK QYT</t>
  </si>
  <si>
    <t>ST-030054</t>
  </si>
  <si>
    <t>iTunes</t>
  </si>
  <si>
    <t>ST-11-01-0006</t>
  </si>
  <si>
    <t>iTunes (US) $50</t>
  </si>
  <si>
    <t>Yalla Ludo</t>
  </si>
  <si>
    <t>ST-240008</t>
  </si>
  <si>
    <t>Yalla Ludo 2333 Diamonds</t>
  </si>
  <si>
    <t>ST-030075</t>
  </si>
  <si>
    <t>Razer gold</t>
  </si>
  <si>
    <t>ST-15-01-0002</t>
  </si>
  <si>
    <t>Razer$10 Voucher</t>
  </si>
  <si>
    <t>ST-020044</t>
  </si>
  <si>
    <t>ST-11-01-0009</t>
  </si>
  <si>
    <t>iTunes $2</t>
  </si>
  <si>
    <t>ST-020056</t>
  </si>
  <si>
    <t>ST-11-01-0011</t>
  </si>
  <si>
    <t>iTunes $4</t>
  </si>
  <si>
    <t>ST-060011</t>
  </si>
  <si>
    <t>ST-11-01-0008</t>
  </si>
  <si>
    <t>iTunes (US) $200</t>
  </si>
  <si>
    <t>PUBG Pins</t>
  </si>
  <si>
    <t>ST-14-01-0001</t>
  </si>
  <si>
    <t>60 UC</t>
  </si>
  <si>
    <t>ST-020052</t>
  </si>
  <si>
    <t>ST-02-01-0009</t>
  </si>
  <si>
    <t>ST-01-01-0001</t>
  </si>
  <si>
    <t>ST-020053</t>
  </si>
  <si>
    <t>ST-01-01-0002</t>
  </si>
  <si>
    <t>ST-03-01-0016</t>
  </si>
  <si>
    <t>ST-02-01-0010</t>
  </si>
  <si>
    <t>ST-02-01-0008</t>
  </si>
  <si>
    <t>ST-020039</t>
  </si>
  <si>
    <t>ST-02-01-0011</t>
  </si>
  <si>
    <t>ST-02-01-0004</t>
  </si>
  <si>
    <t>ST-03-01-0014</t>
  </si>
  <si>
    <t>ST-060005</t>
  </si>
  <si>
    <t>ST-02-01-0006</t>
  </si>
  <si>
    <t>ST-03-01-0005</t>
  </si>
  <si>
    <t>ST-05-01-0002</t>
  </si>
  <si>
    <t>PlayStation Network</t>
  </si>
  <si>
    <t>ST-12-01-0004</t>
  </si>
  <si>
    <t>PlayStation Network - UAE $10</t>
  </si>
  <si>
    <t>ST-020035</t>
  </si>
  <si>
    <t>ST-020041</t>
  </si>
  <si>
    <t>ST-060010</t>
  </si>
  <si>
    <t>ST-11-01-0001</t>
  </si>
  <si>
    <t>iTunes (US) $5</t>
  </si>
  <si>
    <t>ST-01-01-0005</t>
  </si>
  <si>
    <t>ST-240007</t>
  </si>
  <si>
    <t>Yalla Ludo 830 Diamonds</t>
  </si>
  <si>
    <t>ST-15-01-0005</t>
  </si>
  <si>
    <t>Razer$100 Voucher</t>
  </si>
  <si>
    <t>ST-030053</t>
  </si>
  <si>
    <t>ST-030061</t>
  </si>
  <si>
    <t>ST-060008</t>
  </si>
  <si>
    <t>Free Fire</t>
  </si>
  <si>
    <t>ST-10-01-0001</t>
  </si>
  <si>
    <t>Free Fire 100 + 10</t>
  </si>
  <si>
    <t>Amazon</t>
  </si>
  <si>
    <t>ST-210003</t>
  </si>
  <si>
    <t>Amazon $25 (USA)</t>
  </si>
  <si>
    <t>ST-010018</t>
  </si>
  <si>
    <t>ST-03-01-0012</t>
  </si>
  <si>
    <t>ST-030056</t>
  </si>
  <si>
    <t>ST-05-01-0005</t>
  </si>
  <si>
    <t>ST-01-01-0009</t>
  </si>
  <si>
    <t>ST-060013</t>
  </si>
  <si>
    <t>ST-020040</t>
  </si>
  <si>
    <t>ST-030064</t>
  </si>
  <si>
    <t>ST-020045</t>
  </si>
  <si>
    <t>ST-030035</t>
  </si>
  <si>
    <t>Xbox</t>
  </si>
  <si>
    <t>ST-170010</t>
  </si>
  <si>
    <t>XBOX 5$ USA</t>
  </si>
  <si>
    <t>ST-15-01-0004</t>
  </si>
  <si>
    <t>Razer$50 Voucher</t>
  </si>
  <si>
    <t>ST-010019</t>
  </si>
  <si>
    <t>ST-010020</t>
  </si>
  <si>
    <t>ST-170007</t>
  </si>
  <si>
    <t>XBOX 15$ USA</t>
  </si>
  <si>
    <t>ST-030038</t>
  </si>
  <si>
    <t>Nintendo</t>
  </si>
  <si>
    <t>ST-260001</t>
  </si>
  <si>
    <t>Nintendo 10$</t>
  </si>
  <si>
    <t>ST-15-01-0003</t>
  </si>
  <si>
    <t>Razer$20 Voucher</t>
  </si>
  <si>
    <t>ST-15-01-0001</t>
  </si>
  <si>
    <t>Razer Gold $5</t>
  </si>
  <si>
    <t>ST-050019</t>
  </si>
  <si>
    <t>ST-010017</t>
  </si>
  <si>
    <t>Roblox</t>
  </si>
  <si>
    <t>ST-230001</t>
  </si>
  <si>
    <t>Roblox $10 (Global)</t>
  </si>
  <si>
    <t>ST-170008</t>
  </si>
  <si>
    <t>XBOX 20$ USA</t>
  </si>
  <si>
    <t>ST-01-01-0003</t>
  </si>
  <si>
    <t>ST-03-01-0017</t>
  </si>
  <si>
    <t>ST-06-01-0001</t>
  </si>
  <si>
    <t>ST-10-01-0002</t>
  </si>
  <si>
    <t>Free Fire 210 + 21</t>
  </si>
  <si>
    <t>ST-03-01-0004</t>
  </si>
  <si>
    <t>ST-10-01-0004</t>
  </si>
  <si>
    <t>Free Fire 1080 + 81</t>
  </si>
  <si>
    <t>ST-10-01-0003</t>
  </si>
  <si>
    <t>Free Fire 530 + 53</t>
  </si>
  <si>
    <t>ST-12-01-0005</t>
  </si>
  <si>
    <t>PlayStation Network - UAE $50</t>
  </si>
  <si>
    <t>ST-030060</t>
  </si>
  <si>
    <t>ST-010022</t>
  </si>
  <si>
    <t>ST-260004</t>
  </si>
  <si>
    <t>Nintendo 50$</t>
  </si>
  <si>
    <t>ST-260003</t>
  </si>
  <si>
    <t>Nintendo 35$</t>
  </si>
  <si>
    <t>ST-030059</t>
  </si>
  <si>
    <t>ST-10-01-0005</t>
  </si>
  <si>
    <t>Free Fire 2200 + 220</t>
  </si>
  <si>
    <t>ST-240003</t>
  </si>
  <si>
    <t>Yalla Ludo 10030 Golds</t>
  </si>
  <si>
    <t>ST-210001</t>
  </si>
  <si>
    <t>Amazon $10 (USA)</t>
  </si>
  <si>
    <t>ST-240002</t>
  </si>
  <si>
    <t>Yalla Ludo 3700 Golds</t>
  </si>
  <si>
    <t>ST-120009</t>
  </si>
  <si>
    <t>PlayStation Network - UAE $20</t>
  </si>
  <si>
    <t>ST-050010</t>
  </si>
  <si>
    <t>ST-010021</t>
  </si>
  <si>
    <t>ST-020038</t>
  </si>
  <si>
    <t>ST-02-01-0007</t>
  </si>
  <si>
    <t>ST-02-01-0005</t>
  </si>
  <si>
    <t>ST-020034</t>
  </si>
  <si>
    <t>ST-09-01-0001</t>
  </si>
  <si>
    <t>ST-14-01-0003</t>
  </si>
  <si>
    <t>600 + 60 UC</t>
  </si>
  <si>
    <t>ST-020059</t>
  </si>
  <si>
    <t>ST-240006</t>
  </si>
  <si>
    <t>Yalla Ludo 27800 Diamonds</t>
  </si>
  <si>
    <t>ST-11-01-0002</t>
  </si>
  <si>
    <t>iTunes (US) $10</t>
  </si>
  <si>
    <t>ST-03-01-0024</t>
  </si>
  <si>
    <t>ST-030052</t>
  </si>
  <si>
    <t>ST-020046</t>
  </si>
  <si>
    <t>ST-02-01-0012</t>
  </si>
  <si>
    <t>ST-01-01-0004</t>
  </si>
  <si>
    <t>ST-03-01-0015</t>
  </si>
  <si>
    <t>ST-050021</t>
  </si>
  <si>
    <t>ST-020036</t>
  </si>
  <si>
    <t>ST-020050</t>
  </si>
  <si>
    <t>ST-14-01-0005</t>
  </si>
  <si>
    <t>3850 UC</t>
  </si>
  <si>
    <t>ST-03-01-0006</t>
  </si>
  <si>
    <t>ST-01-01-0006</t>
  </si>
  <si>
    <t>ST-12-01-0003</t>
  </si>
  <si>
    <t>PlayStation Network - US $100</t>
  </si>
  <si>
    <t>ST-060012</t>
  </si>
  <si>
    <t>ST-030069</t>
  </si>
  <si>
    <t>ST-03-01-0013</t>
  </si>
  <si>
    <t>ST-260002</t>
  </si>
  <si>
    <t>Nintendo 20$</t>
  </si>
  <si>
    <t>ST-060007</t>
  </si>
  <si>
    <t>ST-170005</t>
  </si>
  <si>
    <t>XBOX LIVE (US) 25$</t>
  </si>
  <si>
    <t>ST-170006</t>
  </si>
  <si>
    <t>XBOX 100$ USA</t>
  </si>
  <si>
    <t>ST-05-01-0001</t>
  </si>
  <si>
    <t>ST-17-01-0002</t>
  </si>
  <si>
    <t>XBOX $10</t>
  </si>
  <si>
    <t>ST-210004</t>
  </si>
  <si>
    <t>Amazon $50 (USA)</t>
  </si>
  <si>
    <t>ST-030041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</si>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</sst>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1" xfId="0" applyFill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workbookViewId="0">
      <selection activeCell="F13" sqref="F13"/>
    </sheetView>
  </sheetViews>
  <sheetFormatPr defaultRowHeight="15" x14ac:dyDescent="0.25"/>
  <cols>
    <col min="1" max="1" width="19.5703125" bestFit="1" customWidth="1"/>
    <col min="2" max="2" width="10.5703125" bestFit="1" customWidth="1"/>
  </cols>
  <sheetData>
    <row r="1" spans="1:9" x14ac:dyDescent="0.25">
      <c r="A1" s="2" t="s">
        <v>119</v>
      </c>
      <c r="B1" s="2" t="s">
        <v>120</v>
      </c>
      <c r="I1" t="s">
        <v>117</v>
      </c>
    </row>
    <row r="2" spans="1:9" x14ac:dyDescent="0.25">
      <c r="A2" t="str" cm="1">
        <f t="array" ref="A2:A15">_xlfn._xlws.FILTER(STOCK!C:C,(STOCK!A:A=I2)+(STOCK!A:A=I3))</f>
        <v>RC 5</v>
      </c>
      <c r="B2">
        <f>IFERROR(VLOOKUP(A2,STOCK!C:F,4,FALSE),"")</f>
        <v>9871</v>
      </c>
      <c r="I2" t="s">
        <v>35</v>
      </c>
    </row>
    <row r="3" spans="1:9" x14ac:dyDescent="0.25">
      <c r="A3" t="str">
        <v>RC 10</v>
      </c>
      <c r="B3">
        <f>IFERROR(VLOOKUP(A3,STOCK!C:F,4,FALSE),"")</f>
        <v>8478</v>
      </c>
      <c r="I3" t="s">
        <v>33</v>
      </c>
    </row>
    <row r="4" spans="1:9" x14ac:dyDescent="0.25">
      <c r="A4" t="str">
        <v>RC 50</v>
      </c>
      <c r="B4">
        <f>IFERROR(VLOOKUP(A4,STOCK!C:F,4,FALSE),"")</f>
        <v>40</v>
      </c>
    </row>
    <row r="5" spans="1:9" x14ac:dyDescent="0.25">
      <c r="A5" t="str">
        <v>RC 10G New</v>
      </c>
      <c r="B5">
        <f>IFERROR(VLOOKUP(A5,STOCK!C:F,4,FALSE),"")</f>
        <v>25</v>
      </c>
    </row>
    <row r="6" spans="1:9" x14ac:dyDescent="0.25">
      <c r="A6" t="str">
        <v>RC 15</v>
      </c>
      <c r="B6">
        <f>IFERROR(VLOOKUP(A6,STOCK!C:F,4,FALSE),"")</f>
        <v>404</v>
      </c>
    </row>
    <row r="7" spans="1:9" x14ac:dyDescent="0.25">
      <c r="A7" t="str">
        <v>RCBNDL25K</v>
      </c>
      <c r="B7">
        <f>IFERROR(VLOOKUP(A7,STOCK!C:F,4,FALSE),"")</f>
        <v>784</v>
      </c>
    </row>
    <row r="8" spans="1:9" x14ac:dyDescent="0.25">
      <c r="A8" t="str">
        <v>RCBNDL35K</v>
      </c>
      <c r="B8">
        <f>IFERROR(VLOOKUP(A8,STOCK!C:F,4,FALSE),"")</f>
        <v>331</v>
      </c>
    </row>
    <row r="9" spans="1:9" x14ac:dyDescent="0.25">
      <c r="A9" t="str">
        <v>RC 5G New</v>
      </c>
      <c r="B9">
        <f>IFERROR(VLOOKUP(A9,STOCK!C:F,4,FALSE),"")</f>
        <v>60</v>
      </c>
    </row>
    <row r="10" spans="1:9" x14ac:dyDescent="0.25">
      <c r="A10" t="str">
        <v>RC 25</v>
      </c>
      <c r="B10">
        <f>IFERROR(VLOOKUP(A10,STOCK!C:F,4,FALSE),"")</f>
        <v>225</v>
      </c>
    </row>
    <row r="11" spans="1:9" x14ac:dyDescent="0.25">
      <c r="A11" t="str">
        <v>RCBNDL50K</v>
      </c>
      <c r="B11">
        <f>IFERROR(VLOOKUP(A11,STOCK!C:F,4,FALSE),"")</f>
        <v>27</v>
      </c>
    </row>
    <row r="12" spans="1:9" x14ac:dyDescent="0.25">
      <c r="A12" t="str">
        <v>RCBNDL12K</v>
      </c>
      <c r="B12">
        <f>IFERROR(VLOOKUP(A12,STOCK!C:F,4,FALSE),"")</f>
        <v>12</v>
      </c>
    </row>
    <row r="13" spans="1:9" x14ac:dyDescent="0.25">
      <c r="A13" t="str">
        <v>MVD</v>
      </c>
      <c r="B13">
        <f>IFERROR(VLOOKUP(A13,STOCK!C:F,4,FALSE),"")</f>
        <v>22820</v>
      </c>
    </row>
    <row r="14" spans="1:9" x14ac:dyDescent="0.25">
      <c r="A14" t="str">
        <v>RC 35</v>
      </c>
      <c r="B14">
        <f>IFERROR(VLOOKUP(A14,STOCK!C:F,4,FALSE),"")</f>
        <v>265</v>
      </c>
    </row>
    <row r="15" spans="1:9" x14ac:dyDescent="0.25">
      <c r="A15" t="str">
        <v>RC100</v>
      </c>
      <c r="B15">
        <f>IFERROR(VLOOKUP(A15,STOCK!C:F,4,FALSE),"")</f>
        <v>79</v>
      </c>
    </row>
    <row r="16" spans="1:9" x14ac:dyDescent="0.25">
      <c r="B16" t="str">
        <f>IFERROR(VLOOKUP(A16,STOCK!C:F,4,FALSE),"")</f>
        <v/>
      </c>
    </row>
    <row r="17" spans="2:2" x14ac:dyDescent="0.25">
      <c r="B17" t="str">
        <f>IFERROR(VLOOKUP(A17,STOCK!C:F,4,FALSE),"")</f>
        <v/>
      </c>
    </row>
    <row r="18" spans="2:2" x14ac:dyDescent="0.25">
      <c r="B18" t="str">
        <f>IFERROR(VLOOKUP(A18,STOCK!C:F,4,FALSE),"")</f>
        <v/>
      </c>
    </row>
    <row r="19" spans="2:2" x14ac:dyDescent="0.25">
      <c r="B19" t="str">
        <f>IFERROR(VLOOKUP(A19,STOCK!C:F,4,FALSE),"")</f>
        <v/>
      </c>
    </row>
    <row r="20" spans="2:2" x14ac:dyDescent="0.25">
      <c r="B20" t="str">
        <f>IFERROR(VLOOKUP(A20,STOCK!C:F,4,FALSE),"")</f>
        <v/>
      </c>
    </row>
    <row r="21" spans="2:2" x14ac:dyDescent="0.25">
      <c r="B21" t="str">
        <f>IFERROR(VLOOKUP(A21,STOCK!C:F,4,FALSE),"")</f>
        <v/>
      </c>
    </row>
    <row r="22" spans="2:2" x14ac:dyDescent="0.25">
      <c r="B22" t="str">
        <f>IFERROR(VLOOKUP(A22,STOCK!C:F,4,FALSE),"")</f>
        <v/>
      </c>
    </row>
    <row r="23" spans="2:2" x14ac:dyDescent="0.25">
      <c r="B23" t="str">
        <f>IFERROR(VLOOKUP(A23,STOCK!C:F,4,FALSE),"")</f>
        <v/>
      </c>
    </row>
    <row r="24" spans="2:2" x14ac:dyDescent="0.25">
      <c r="B24" t="str">
        <f>IFERROR(VLOOKUP(A24,STOCK!C:F,4,FALSE),"")</f>
        <v/>
      </c>
    </row>
    <row r="25" spans="2:2" x14ac:dyDescent="0.25">
      <c r="B25" t="str">
        <f>IFERROR(VLOOKUP(A25,STOCK!C:F,4,FALSE),"")</f>
        <v/>
      </c>
    </row>
    <row r="26" spans="2:2" x14ac:dyDescent="0.25">
      <c r="B26" t="str">
        <f>IFERROR(VLOOKUP(A26,STOCK!C:F,4,FALSE),"")</f>
        <v/>
      </c>
    </row>
    <row r="27" spans="2:2" x14ac:dyDescent="0.25">
      <c r="B27" t="str">
        <f>IFERROR(VLOOKUP(A27,STOCK!C:F,4,FALSE),"")</f>
        <v/>
      </c>
    </row>
    <row r="28" spans="2:2" x14ac:dyDescent="0.25">
      <c r="B28" t="str">
        <f>IFERROR(VLOOKUP(A28,STOCK!C:F,4,FALSE),"")</f>
        <v/>
      </c>
    </row>
    <row r="29" spans="2:2" x14ac:dyDescent="0.25">
      <c r="B29" t="str">
        <f>IFERROR(VLOOKUP(A29,STOCK!C:F,4,FALSE),"")</f>
        <v/>
      </c>
    </row>
    <row r="30" spans="2:2" x14ac:dyDescent="0.25">
      <c r="B30" t="str">
        <f>IFERROR(VLOOKUP(A30,STOCK!C:F,4,FALSE),"")</f>
        <v/>
      </c>
    </row>
    <row r="31" spans="2:2" x14ac:dyDescent="0.25">
      <c r="B31" t="str">
        <f>IFERROR(VLOOKUP(A31,STOCK!C:F,4,FALSE),"")</f>
        <v/>
      </c>
    </row>
    <row r="32" spans="2:2" x14ac:dyDescent="0.25">
      <c r="B32" t="str">
        <f>IFERROR(VLOOKUP(A32,STOCK!C:F,4,FALSE),"")</f>
        <v/>
      </c>
    </row>
    <row r="33" spans="2:2" x14ac:dyDescent="0.25">
      <c r="B33" t="str">
        <f>IFERROR(VLOOKUP(A33,STOCK!C:F,4,FALSE),"")</f>
        <v/>
      </c>
    </row>
    <row r="34" spans="2:2" x14ac:dyDescent="0.25">
      <c r="B34" t="str">
        <f>IFERROR(VLOOKUP(A34,STOCK!C:F,4,FALSE),"")</f>
        <v/>
      </c>
    </row>
    <row r="35" spans="2:2" x14ac:dyDescent="0.25">
      <c r="B35" t="str">
        <f>IFERROR(VLOOKUP(A35,STOCK!C:F,4,FALSE),"")</f>
        <v/>
      </c>
    </row>
    <row r="36" spans="2:2" x14ac:dyDescent="0.25">
      <c r="B36" t="str">
        <f>IFERROR(VLOOKUP(A36,STOCK!C:F,4,FALSE),"")</f>
        <v/>
      </c>
    </row>
    <row r="37" spans="2:2" x14ac:dyDescent="0.25">
      <c r="B37" t="str">
        <f>IFERROR(VLOOKUP(A37,STOCK!C:F,4,FALSE),"")</f>
        <v/>
      </c>
    </row>
    <row r="38" spans="2:2" x14ac:dyDescent="0.25">
      <c r="B38" t="str">
        <f>IFERROR(VLOOKUP(A38,STOCK!C:F,4,FALSE),"")</f>
        <v/>
      </c>
    </row>
    <row r="39" spans="2:2" x14ac:dyDescent="0.25">
      <c r="B39" t="str">
        <f>IFERROR(VLOOKUP(A39,STOCK!C:F,4,FALSE),"")</f>
        <v/>
      </c>
    </row>
    <row r="40" spans="2:2" x14ac:dyDescent="0.25">
      <c r="B40" t="str">
        <f>IFERROR(VLOOKUP(A40,STOCK!C:F,4,FALSE),"")</f>
        <v/>
      </c>
    </row>
    <row r="41" spans="2:2" x14ac:dyDescent="0.25">
      <c r="B41" t="str">
        <f>IFERROR(VLOOKUP(A41,STOCK!C:F,4,FALSE),"")</f>
        <v/>
      </c>
    </row>
    <row r="42" spans="2:2" x14ac:dyDescent="0.25">
      <c r="B42" t="str">
        <f>IFERROR(VLOOKUP(A42,STOCK!C:F,4,FALSE),"")</f>
        <v/>
      </c>
    </row>
    <row r="43" spans="2:2" x14ac:dyDescent="0.25">
      <c r="B43" t="str">
        <f>IFERROR(VLOOKUP(A43,STOCK!C:F,4,FALSE),"")</f>
        <v/>
      </c>
    </row>
    <row r="44" spans="2:2" x14ac:dyDescent="0.25">
      <c r="B44" t="str">
        <f>IFERROR(VLOOKUP(A44,STOCK!C:F,4,FALSE),"")</f>
        <v/>
      </c>
    </row>
    <row r="45" spans="2:2" x14ac:dyDescent="0.25">
      <c r="B45" t="str">
        <f>IFERROR(VLOOKUP(A45,STOCK!C:F,4,FALSE),"")</f>
        <v/>
      </c>
    </row>
    <row r="46" spans="2:2" x14ac:dyDescent="0.25">
      <c r="B46" t="str">
        <f>IFERROR(VLOOKUP(A46,STOCK!C:F,4,FALSE),"")</f>
        <v/>
      </c>
    </row>
    <row r="47" spans="2:2" x14ac:dyDescent="0.25">
      <c r="B47" t="str">
        <f>IFERROR(VLOOKUP(A47,STOCK!C:F,4,FALSE),"")</f>
        <v/>
      </c>
    </row>
    <row r="48" spans="2:2" x14ac:dyDescent="0.25">
      <c r="B48" t="str">
        <f>IFERROR(VLOOKUP(A48,STOCK!C:F,4,FALSE),"")</f>
        <v/>
      </c>
    </row>
    <row r="49" spans="2:2" x14ac:dyDescent="0.25">
      <c r="B49" t="str">
        <f>IFERROR(VLOOKUP(A49,STOCK!C:F,4,FALSE),"")</f>
        <v/>
      </c>
    </row>
    <row r="50" spans="2:2" x14ac:dyDescent="0.25">
      <c r="B50" t="str">
        <f>IFERROR(VLOOKUP(A50,STOCK!C:F,4,FALSE),"")</f>
        <v/>
      </c>
    </row>
    <row r="51" spans="2:2" x14ac:dyDescent="0.25">
      <c r="B51" t="str">
        <f>IFERROR(VLOOKUP(A51,STOCK!C:F,4,FALSE),"")</f>
        <v/>
      </c>
    </row>
    <row r="52" spans="2:2" x14ac:dyDescent="0.25">
      <c r="B52" t="str">
        <f>IFERROR(VLOOKUP(A52,STOCK!C:F,4,FALSE),"")</f>
        <v/>
      </c>
    </row>
    <row r="53" spans="2:2" x14ac:dyDescent="0.25">
      <c r="B53" t="str">
        <f>IFERROR(VLOOKUP(A53,STOCK!C:F,4,FALSE),"")</f>
        <v/>
      </c>
    </row>
    <row r="54" spans="2:2" x14ac:dyDescent="0.25">
      <c r="B54" t="str">
        <f>IFERROR(VLOOKUP(A54,STOCK!C:F,4,FALSE),"")</f>
        <v/>
      </c>
    </row>
    <row r="55" spans="2:2" x14ac:dyDescent="0.25">
      <c r="B55" t="str">
        <f>IFERROR(VLOOKUP(A55,STOCK!C:F,4,FALSE),"")</f>
        <v/>
      </c>
    </row>
    <row r="56" spans="2:2" x14ac:dyDescent="0.25">
      <c r="B56" t="str">
        <f>IFERROR(VLOOKUP(A56,STOCK!C:F,4,FALSE),"")</f>
        <v/>
      </c>
    </row>
    <row r="57" spans="2:2" x14ac:dyDescent="0.25">
      <c r="B57" t="str">
        <f>IFERROR(VLOOKUP(A57,STOCK!C:F,4,FALSE),"")</f>
        <v/>
      </c>
    </row>
    <row r="58" spans="2:2" x14ac:dyDescent="0.25">
      <c r="B58" t="str">
        <f>IFERROR(VLOOKUP(A58,STOCK!C:F,4,FALSE),"")</f>
        <v/>
      </c>
    </row>
    <row r="59" spans="2:2" x14ac:dyDescent="0.25">
      <c r="B59" t="str">
        <f>IFERROR(VLOOKUP(A59,STOCK!C:F,4,FALSE),"")</f>
        <v/>
      </c>
    </row>
    <row r="60" spans="2:2" x14ac:dyDescent="0.25">
      <c r="B60" t="str">
        <f>IFERROR(VLOOKUP(A60,STOCK!C:F,4,FALSE),"")</f>
        <v/>
      </c>
    </row>
    <row r="61" spans="2:2" x14ac:dyDescent="0.25">
      <c r="B61" t="str">
        <f>IFERROR(VLOOKUP(A61,STOCK!C:F,4,FALSE),"")</f>
        <v/>
      </c>
    </row>
    <row r="62" spans="2:2" x14ac:dyDescent="0.25">
      <c r="B62" t="str">
        <f>IFERROR(VLOOKUP(A62,STOCK!C:F,4,FALSE),"")</f>
        <v/>
      </c>
    </row>
    <row r="63" spans="2:2" x14ac:dyDescent="0.25">
      <c r="B63" t="str">
        <f>IFERROR(VLOOKUP(A63,STOCK!C:F,4,FALSE),"")</f>
        <v/>
      </c>
    </row>
    <row r="64" spans="2:2" x14ac:dyDescent="0.25">
      <c r="B64" t="str">
        <f>IFERROR(VLOOKUP(A64,STOCK!C:F,4,FALSE),"")</f>
        <v/>
      </c>
    </row>
    <row r="65" spans="2:2" x14ac:dyDescent="0.25">
      <c r="B65" t="str">
        <f>IFERROR(VLOOKUP(A65,STOCK!C:F,4,FALSE),"")</f>
        <v/>
      </c>
    </row>
    <row r="66" spans="2:2" x14ac:dyDescent="0.25">
      <c r="B66" t="str">
        <f>IFERROR(VLOOKUP(A66,STOCK!C:F,4,FALSE),"")</f>
        <v/>
      </c>
    </row>
    <row r="67" spans="2:2" x14ac:dyDescent="0.25">
      <c r="B67" t="str">
        <f>IFERROR(VLOOKUP(A67,STOCK!C:F,4,FALSE),"")</f>
        <v/>
      </c>
    </row>
    <row r="68" spans="2:2" x14ac:dyDescent="0.25">
      <c r="B68" t="str">
        <f>IFERROR(VLOOKUP(A68,STOCK!C:F,4,FALSE),"")</f>
        <v/>
      </c>
    </row>
    <row r="69" spans="2:2" x14ac:dyDescent="0.25">
      <c r="B69" t="str">
        <f>IFERROR(VLOOKUP(A69,STOCK!C:F,4,FALSE),"")</f>
        <v/>
      </c>
    </row>
    <row r="70" spans="2:2" x14ac:dyDescent="0.25">
      <c r="B70" t="str">
        <f>IFERROR(VLOOKUP(A70,STOCK!C:F,4,FALSE),"")</f>
        <v/>
      </c>
    </row>
    <row r="71" spans="2:2" x14ac:dyDescent="0.25">
      <c r="B71" t="str">
        <f>IFERROR(VLOOKUP(A71,STOCK!C:F,4,FALSE),"")</f>
        <v/>
      </c>
    </row>
    <row r="72" spans="2:2" x14ac:dyDescent="0.25">
      <c r="B72" t="str">
        <f>IFERROR(VLOOKUP(A72,STOCK!C:F,4,FALSE),"")</f>
        <v/>
      </c>
    </row>
    <row r="73" spans="2:2" x14ac:dyDescent="0.25">
      <c r="B73" t="str">
        <f>IFERROR(VLOOKUP(A73,STOCK!C:F,4,FALSE),"")</f>
        <v/>
      </c>
    </row>
    <row r="74" spans="2:2" x14ac:dyDescent="0.25">
      <c r="B74" t="str">
        <f>IFERROR(VLOOKUP(A74,STOCK!C:F,4,FALSE),"")</f>
        <v/>
      </c>
    </row>
    <row r="75" spans="2:2" x14ac:dyDescent="0.25">
      <c r="B75" t="str">
        <f>IFERROR(VLOOKUP(A75,STOCK!C:F,4,FALSE),"")</f>
        <v/>
      </c>
    </row>
    <row r="76" spans="2:2" x14ac:dyDescent="0.25">
      <c r="B76" t="str">
        <f>IFERROR(VLOOKUP(A76,STOCK!C:F,4,FALSE),"")</f>
        <v/>
      </c>
    </row>
    <row r="77" spans="2:2" x14ac:dyDescent="0.25">
      <c r="B77" t="str">
        <f>IFERROR(VLOOKUP(A77,STOCK!C:F,4,FALSE),"")</f>
        <v/>
      </c>
    </row>
    <row r="78" spans="2:2" x14ac:dyDescent="0.25">
      <c r="B78" t="str">
        <f>IFERROR(VLOOKUP(A78,STOCK!C:F,4,FALSE),"")</f>
        <v/>
      </c>
    </row>
    <row r="79" spans="2:2" x14ac:dyDescent="0.25">
      <c r="B79" t="str">
        <f>IFERROR(VLOOKUP(A79,STOCK!C:F,4,FALSE),"")</f>
        <v/>
      </c>
    </row>
    <row r="80" spans="2:2" x14ac:dyDescent="0.25">
      <c r="B80" t="str">
        <f>IFERROR(VLOOKUP(A80,STOCK!C:F,4,FALSE),"")</f>
        <v/>
      </c>
    </row>
    <row r="81" spans="2:2" x14ac:dyDescent="0.25">
      <c r="B81" t="str">
        <f>IFERROR(VLOOKUP(A81,STOCK!C:F,4,FALSE),"")</f>
        <v/>
      </c>
    </row>
    <row r="82" spans="2:2" x14ac:dyDescent="0.25">
      <c r="B82" t="str">
        <f>IFERROR(VLOOKUP(A82,STOCK!C:F,4,FALSE),"")</f>
        <v/>
      </c>
    </row>
    <row r="83" spans="2:2" x14ac:dyDescent="0.25">
      <c r="B83" t="str">
        <f>IFERROR(VLOOKUP(A83,STOCK!C:F,4,FALSE),"")</f>
        <v/>
      </c>
    </row>
    <row r="84" spans="2:2" x14ac:dyDescent="0.25">
      <c r="B84" t="str">
        <f>IFERROR(VLOOKUP(A84,STOCK!C:F,4,FALSE),"")</f>
        <v/>
      </c>
    </row>
    <row r="85" spans="2:2" x14ac:dyDescent="0.25">
      <c r="B85" t="str">
        <f>IFERROR(VLOOKUP(A85,STOCK!C:F,4,FALSE),"")</f>
        <v/>
      </c>
    </row>
    <row r="86" spans="2:2" x14ac:dyDescent="0.25">
      <c r="B86" t="str">
        <f>IFERROR(VLOOKUP(A86,STOCK!C:F,4,FALSE),"")</f>
        <v/>
      </c>
    </row>
    <row r="87" spans="2:2" x14ac:dyDescent="0.25">
      <c r="B87" t="str">
        <f>IFERROR(VLOOKUP(A87,STOCK!C:F,4,FALSE),"")</f>
        <v/>
      </c>
    </row>
    <row r="88" spans="2:2" x14ac:dyDescent="0.25">
      <c r="B88" t="str">
        <f>IFERROR(VLOOKUP(A88,STOCK!C:F,4,FALSE),"")</f>
        <v/>
      </c>
    </row>
    <row r="89" spans="2:2" x14ac:dyDescent="0.25">
      <c r="B89" t="str">
        <f>IFERROR(VLOOKUP(A89,STOCK!C:F,4,FALSE),"")</f>
        <v/>
      </c>
    </row>
    <row r="90" spans="2:2" x14ac:dyDescent="0.25">
      <c r="B90" t="str">
        <f>IFERROR(VLOOKUP(A90,STOCK!C:F,4,FALSE),"")</f>
        <v/>
      </c>
    </row>
    <row r="91" spans="2:2" x14ac:dyDescent="0.25">
      <c r="B91" t="str">
        <f>IFERROR(VLOOKUP(A91,STOCK!C:F,4,FALSE),"")</f>
        <v/>
      </c>
    </row>
    <row r="92" spans="2:2" x14ac:dyDescent="0.25">
      <c r="B92" t="str">
        <f>IFERROR(VLOOKUP(A92,STOCK!C:F,4,FALSE),"")</f>
        <v/>
      </c>
    </row>
    <row r="93" spans="2:2" x14ac:dyDescent="0.25">
      <c r="B93" t="str">
        <f>IFERROR(VLOOKUP(A93,STOCK!C:F,4,FALSE),"")</f>
        <v/>
      </c>
    </row>
    <row r="94" spans="2:2" x14ac:dyDescent="0.25">
      <c r="B94" t="str">
        <f>IFERROR(VLOOKUP(A94,STOCK!C:F,4,FALSE),"")</f>
        <v/>
      </c>
    </row>
    <row r="95" spans="2:2" x14ac:dyDescent="0.25">
      <c r="B95" t="str">
        <f>IFERROR(VLOOKUP(A95,STOCK!C:F,4,FALSE),"")</f>
        <v/>
      </c>
    </row>
    <row r="96" spans="2:2" x14ac:dyDescent="0.25">
      <c r="B96" t="str">
        <f>IFERROR(VLOOKUP(A96,STOCK!C:F,4,FALSE),"")</f>
        <v/>
      </c>
    </row>
    <row r="97" spans="2:2" x14ac:dyDescent="0.25">
      <c r="B97" t="str">
        <f>IFERROR(VLOOKUP(A97,STOCK!C:F,4,FALSE),"")</f>
        <v/>
      </c>
    </row>
    <row r="98" spans="2:2" x14ac:dyDescent="0.25">
      <c r="B98" t="str">
        <f>IFERROR(VLOOKUP(A98,STOCK!C:F,4,FALSE),"")</f>
        <v/>
      </c>
    </row>
    <row r="99" spans="2:2" x14ac:dyDescent="0.25">
      <c r="B99" t="str">
        <f>IFERROR(VLOOKUP(A99,STOCK!C:F,4,FALSE),"")</f>
        <v/>
      </c>
    </row>
    <row r="100" spans="2:2" x14ac:dyDescent="0.25">
      <c r="B100" t="str">
        <f>IFERROR(VLOOKUP(A100,STOCK!C:F,4,FALSE),"")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B0D3F-DC5B-48CD-B6BF-6DAD493002F6}">
  <dimension ref="A1:J100"/>
  <sheetViews>
    <sheetView tabSelected="1" workbookViewId="0">
      <selection activeCell="I14" sqref="I14"/>
    </sheetView>
  </sheetViews>
  <sheetFormatPr defaultRowHeight="15" x14ac:dyDescent="0.25"/>
  <cols>
    <col min="1" max="1" width="22.42578125" bestFit="1" customWidth="1"/>
    <col min="2" max="2" width="10.5703125" bestFit="1" customWidth="1"/>
  </cols>
  <sheetData>
    <row r="1" spans="1:10" x14ac:dyDescent="0.25">
      <c r="A1" s="2" t="s">
        <v>119</v>
      </c>
      <c r="B1" s="2" t="s">
        <v>120</v>
      </c>
      <c r="J1" t="s">
        <v>117</v>
      </c>
    </row>
    <row r="2" spans="1:10" x14ac:dyDescent="0.25">
      <c r="A2" t="str" cm="1">
        <f t="array" ref="A2:A9">_xlfn._xlws.FILTER(STOCK!C:C,STOCK!A:A=omer!J2)</f>
        <v>RES1-WFM026TSIM3000</v>
      </c>
      <c r="B2">
        <f>IFERROR(VLOOKUP(A2,STOCK!C:F,4,FALSE),"")</f>
        <v>15</v>
      </c>
      <c r="J2" t="s">
        <v>104</v>
      </c>
    </row>
    <row r="3" spans="1:10" x14ac:dyDescent="0.25">
      <c r="A3" t="str">
        <v>ZAINFi2SIM</v>
      </c>
      <c r="B3">
        <f>IFERROR(VLOOKUP(A3,STOCK!C:F,4,FALSE),"")</f>
        <v>122</v>
      </c>
    </row>
    <row r="4" spans="1:10" x14ac:dyDescent="0.25">
      <c r="A4" t="str">
        <v>ZF2B535-235ASIM</v>
      </c>
      <c r="B4">
        <f>IFERROR(VLOOKUP(A4,STOCK!C:F,4,FALSE),"")</f>
        <v>146</v>
      </c>
    </row>
    <row r="5" spans="1:10" x14ac:dyDescent="0.25">
      <c r="A5" t="str">
        <v>RES2-WLTSLT718</v>
      </c>
      <c r="B5">
        <f>IFERROR(VLOOKUP(A5,STOCK!C:F,4,FALSE),"")</f>
        <v>33</v>
      </c>
    </row>
    <row r="6" spans="1:10" x14ac:dyDescent="0.25">
      <c r="A6" t="str">
        <v>ZF1E5783-230ASIM3000</v>
      </c>
      <c r="B6">
        <f>IFERROR(VLOOKUP(A6,STOCK!C:F,4,FALSE),"")</f>
        <v>24</v>
      </c>
    </row>
    <row r="7" spans="1:10" x14ac:dyDescent="0.25">
      <c r="A7" t="str">
        <v>WIFSIMM022T</v>
      </c>
      <c r="B7">
        <f>IFERROR(VLOOKUP(A7,STOCK!C:F,4,FALSE),"")</f>
        <v>192</v>
      </c>
    </row>
    <row r="8" spans="1:10" x14ac:dyDescent="0.25">
      <c r="A8" t="str">
        <v>RES2-ZF2B535-235ASIM</v>
      </c>
      <c r="B8">
        <f>IFERROR(VLOOKUP(A8,STOCK!C:F,4,FALSE),"")</f>
        <v>28</v>
      </c>
    </row>
    <row r="9" spans="1:10" x14ac:dyDescent="0.25">
      <c r="A9" t="str">
        <v>RES-WLTSLT718</v>
      </c>
      <c r="B9">
        <f>IFERROR(VLOOKUP(A9,STOCK!C:F,4,FALSE),"")</f>
        <v>54</v>
      </c>
    </row>
    <row r="10" spans="1:10" x14ac:dyDescent="0.25">
      <c r="B10" t="str">
        <f>IFERROR(VLOOKUP(A10,STOCK!C:F,4,FALSE),"")</f>
        <v/>
      </c>
    </row>
    <row r="11" spans="1:10" x14ac:dyDescent="0.25">
      <c r="B11" t="str">
        <f>IFERROR(VLOOKUP(A11,STOCK!C:F,4,FALSE),"")</f>
        <v/>
      </c>
    </row>
    <row r="12" spans="1:10" x14ac:dyDescent="0.25">
      <c r="B12" t="str">
        <f>IFERROR(VLOOKUP(A12,STOCK!C:F,4,FALSE),"")</f>
        <v/>
      </c>
    </row>
    <row r="13" spans="1:10" x14ac:dyDescent="0.25">
      <c r="B13" t="str">
        <f>IFERROR(VLOOKUP(A13,STOCK!C:F,4,FALSE),"")</f>
        <v/>
      </c>
    </row>
    <row r="14" spans="1:10" x14ac:dyDescent="0.25">
      <c r="B14" t="str">
        <f>IFERROR(VLOOKUP(A14,STOCK!C:F,4,FALSE),"")</f>
        <v/>
      </c>
    </row>
    <row r="15" spans="1:10" x14ac:dyDescent="0.25">
      <c r="B15" t="str">
        <f>IFERROR(VLOOKUP(A15,STOCK!C:F,4,FALSE),"")</f>
        <v/>
      </c>
    </row>
    <row r="16" spans="1:10" x14ac:dyDescent="0.25">
      <c r="B16" t="str">
        <f>IFERROR(VLOOKUP(A16,STOCK!C:F,4,FALSE),"")</f>
        <v/>
      </c>
    </row>
    <row r="17" spans="2:2" x14ac:dyDescent="0.25">
      <c r="B17" t="str">
        <f>IFERROR(VLOOKUP(A17,STOCK!C:F,4,FALSE),"")</f>
        <v/>
      </c>
    </row>
    <row r="18" spans="2:2" x14ac:dyDescent="0.25">
      <c r="B18" t="str">
        <f>IFERROR(VLOOKUP(A18,STOCK!C:F,4,FALSE),"")</f>
        <v/>
      </c>
    </row>
    <row r="19" spans="2:2" x14ac:dyDescent="0.25">
      <c r="B19" t="str">
        <f>IFERROR(VLOOKUP(A19,STOCK!C:F,4,FALSE),"")</f>
        <v/>
      </c>
    </row>
    <row r="20" spans="2:2" x14ac:dyDescent="0.25">
      <c r="B20" t="str">
        <f>IFERROR(VLOOKUP(A20,STOCK!C:F,4,FALSE),"")</f>
        <v/>
      </c>
    </row>
    <row r="21" spans="2:2" x14ac:dyDescent="0.25">
      <c r="B21" t="str">
        <f>IFERROR(VLOOKUP(A21,STOCK!C:F,4,FALSE),"")</f>
        <v/>
      </c>
    </row>
    <row r="22" spans="2:2" x14ac:dyDescent="0.25">
      <c r="B22" t="str">
        <f>IFERROR(VLOOKUP(A22,STOCK!C:F,4,FALSE),"")</f>
        <v/>
      </c>
    </row>
    <row r="23" spans="2:2" x14ac:dyDescent="0.25">
      <c r="B23" t="str">
        <f>IFERROR(VLOOKUP(A23,STOCK!C:F,4,FALSE),"")</f>
        <v/>
      </c>
    </row>
    <row r="24" spans="2:2" x14ac:dyDescent="0.25">
      <c r="B24" t="str">
        <f>IFERROR(VLOOKUP(A24,STOCK!C:F,4,FALSE),"")</f>
        <v/>
      </c>
    </row>
    <row r="25" spans="2:2" x14ac:dyDescent="0.25">
      <c r="B25" t="str">
        <f>IFERROR(VLOOKUP(A25,STOCK!C:F,4,FALSE),"")</f>
        <v/>
      </c>
    </row>
    <row r="26" spans="2:2" x14ac:dyDescent="0.25">
      <c r="B26" t="str">
        <f>IFERROR(VLOOKUP(A26,STOCK!C:F,4,FALSE),"")</f>
        <v/>
      </c>
    </row>
    <row r="27" spans="2:2" x14ac:dyDescent="0.25">
      <c r="B27" t="str">
        <f>IFERROR(VLOOKUP(A27,STOCK!C:F,4,FALSE),"")</f>
        <v/>
      </c>
    </row>
    <row r="28" spans="2:2" x14ac:dyDescent="0.25">
      <c r="B28" t="str">
        <f>IFERROR(VLOOKUP(A28,STOCK!C:F,4,FALSE),"")</f>
        <v/>
      </c>
    </row>
    <row r="29" spans="2:2" x14ac:dyDescent="0.25">
      <c r="B29" t="str">
        <f>IFERROR(VLOOKUP(A29,STOCK!C:F,4,FALSE),"")</f>
        <v/>
      </c>
    </row>
    <row r="30" spans="2:2" x14ac:dyDescent="0.25">
      <c r="B30" t="str">
        <f>IFERROR(VLOOKUP(A30,STOCK!C:F,4,FALSE),"")</f>
        <v/>
      </c>
    </row>
    <row r="31" spans="2:2" x14ac:dyDescent="0.25">
      <c r="B31" t="str">
        <f>IFERROR(VLOOKUP(A31,STOCK!C:F,4,FALSE),"")</f>
        <v/>
      </c>
    </row>
    <row r="32" spans="2:2" x14ac:dyDescent="0.25">
      <c r="B32" t="str">
        <f>IFERROR(VLOOKUP(A32,STOCK!C:F,4,FALSE),"")</f>
        <v/>
      </c>
    </row>
    <row r="33" spans="2:2" x14ac:dyDescent="0.25">
      <c r="B33" t="str">
        <f>IFERROR(VLOOKUP(A33,STOCK!C:F,4,FALSE),"")</f>
        <v/>
      </c>
    </row>
    <row r="34" spans="2:2" x14ac:dyDescent="0.25">
      <c r="B34" t="str">
        <f>IFERROR(VLOOKUP(A34,STOCK!C:F,4,FALSE),"")</f>
        <v/>
      </c>
    </row>
    <row r="35" spans="2:2" x14ac:dyDescent="0.25">
      <c r="B35" t="str">
        <f>IFERROR(VLOOKUP(A35,STOCK!C:F,4,FALSE),"")</f>
        <v/>
      </c>
    </row>
    <row r="36" spans="2:2" x14ac:dyDescent="0.25">
      <c r="B36" t="str">
        <f>IFERROR(VLOOKUP(A36,STOCK!C:F,4,FALSE),"")</f>
        <v/>
      </c>
    </row>
    <row r="37" spans="2:2" x14ac:dyDescent="0.25">
      <c r="B37" t="str">
        <f>IFERROR(VLOOKUP(A37,STOCK!C:F,4,FALSE),"")</f>
        <v/>
      </c>
    </row>
    <row r="38" spans="2:2" x14ac:dyDescent="0.25">
      <c r="B38" t="str">
        <f>IFERROR(VLOOKUP(A38,STOCK!C:F,4,FALSE),"")</f>
        <v/>
      </c>
    </row>
    <row r="39" spans="2:2" x14ac:dyDescent="0.25">
      <c r="B39" t="str">
        <f>IFERROR(VLOOKUP(A39,STOCK!C:F,4,FALSE),"")</f>
        <v/>
      </c>
    </row>
    <row r="40" spans="2:2" x14ac:dyDescent="0.25">
      <c r="B40" t="str">
        <f>IFERROR(VLOOKUP(A40,STOCK!C:F,4,FALSE),"")</f>
        <v/>
      </c>
    </row>
    <row r="41" spans="2:2" x14ac:dyDescent="0.25">
      <c r="B41" t="str">
        <f>IFERROR(VLOOKUP(A41,STOCK!C:F,4,FALSE),"")</f>
        <v/>
      </c>
    </row>
    <row r="42" spans="2:2" x14ac:dyDescent="0.25">
      <c r="B42" t="str">
        <f>IFERROR(VLOOKUP(A42,STOCK!C:F,4,FALSE),"")</f>
        <v/>
      </c>
    </row>
    <row r="43" spans="2:2" x14ac:dyDescent="0.25">
      <c r="B43" t="str">
        <f>IFERROR(VLOOKUP(A43,STOCK!C:F,4,FALSE),"")</f>
        <v/>
      </c>
    </row>
    <row r="44" spans="2:2" x14ac:dyDescent="0.25">
      <c r="B44" t="str">
        <f>IFERROR(VLOOKUP(A44,STOCK!C:F,4,FALSE),"")</f>
        <v/>
      </c>
    </row>
    <row r="45" spans="2:2" x14ac:dyDescent="0.25">
      <c r="B45" t="str">
        <f>IFERROR(VLOOKUP(A45,STOCK!C:F,4,FALSE),"")</f>
        <v/>
      </c>
    </row>
    <row r="46" spans="2:2" x14ac:dyDescent="0.25">
      <c r="B46" t="str">
        <f>IFERROR(VLOOKUP(A46,STOCK!C:F,4,FALSE),"")</f>
        <v/>
      </c>
    </row>
    <row r="47" spans="2:2" x14ac:dyDescent="0.25">
      <c r="B47" t="str">
        <f>IFERROR(VLOOKUP(A47,STOCK!C:F,4,FALSE),"")</f>
        <v/>
      </c>
    </row>
    <row r="48" spans="2:2" x14ac:dyDescent="0.25">
      <c r="B48" t="str">
        <f>IFERROR(VLOOKUP(A48,STOCK!C:F,4,FALSE),"")</f>
        <v/>
      </c>
    </row>
    <row r="49" spans="2:2" x14ac:dyDescent="0.25">
      <c r="B49" t="str">
        <f>IFERROR(VLOOKUP(A49,STOCK!C:F,4,FALSE),"")</f>
        <v/>
      </c>
    </row>
    <row r="50" spans="2:2" x14ac:dyDescent="0.25">
      <c r="B50" t="str">
        <f>IFERROR(VLOOKUP(A50,STOCK!C:F,4,FALSE),"")</f>
        <v/>
      </c>
    </row>
    <row r="51" spans="2:2" x14ac:dyDescent="0.25">
      <c r="B51" t="str">
        <f>IFERROR(VLOOKUP(A51,STOCK!C:F,4,FALSE),"")</f>
        <v/>
      </c>
    </row>
    <row r="52" spans="2:2" x14ac:dyDescent="0.25">
      <c r="B52" t="str">
        <f>IFERROR(VLOOKUP(A52,STOCK!C:F,4,FALSE),"")</f>
        <v/>
      </c>
    </row>
    <row r="53" spans="2:2" x14ac:dyDescent="0.25">
      <c r="B53" t="str">
        <f>IFERROR(VLOOKUP(A53,STOCK!C:F,4,FALSE),"")</f>
        <v/>
      </c>
    </row>
    <row r="54" spans="2:2" x14ac:dyDescent="0.25">
      <c r="B54" t="str">
        <f>IFERROR(VLOOKUP(A54,STOCK!C:F,4,FALSE),"")</f>
        <v/>
      </c>
    </row>
    <row r="55" spans="2:2" x14ac:dyDescent="0.25">
      <c r="B55" t="str">
        <f>IFERROR(VLOOKUP(A55,STOCK!C:F,4,FALSE),"")</f>
        <v/>
      </c>
    </row>
    <row r="56" spans="2:2" x14ac:dyDescent="0.25">
      <c r="B56" t="str">
        <f>IFERROR(VLOOKUP(A56,STOCK!C:F,4,FALSE),"")</f>
        <v/>
      </c>
    </row>
    <row r="57" spans="2:2" x14ac:dyDescent="0.25">
      <c r="B57" t="str">
        <f>IFERROR(VLOOKUP(A57,STOCK!C:F,4,FALSE),"")</f>
        <v/>
      </c>
    </row>
    <row r="58" spans="2:2" x14ac:dyDescent="0.25">
      <c r="B58" t="str">
        <f>IFERROR(VLOOKUP(A58,STOCK!C:F,4,FALSE),"")</f>
        <v/>
      </c>
    </row>
    <row r="59" spans="2:2" x14ac:dyDescent="0.25">
      <c r="B59" t="str">
        <f>IFERROR(VLOOKUP(A59,STOCK!C:F,4,FALSE),"")</f>
        <v/>
      </c>
    </row>
    <row r="60" spans="2:2" x14ac:dyDescent="0.25">
      <c r="B60" t="str">
        <f>IFERROR(VLOOKUP(A60,STOCK!C:F,4,FALSE),"")</f>
        <v/>
      </c>
    </row>
    <row r="61" spans="2:2" x14ac:dyDescent="0.25">
      <c r="B61" t="str">
        <f>IFERROR(VLOOKUP(A61,STOCK!C:F,4,FALSE),"")</f>
        <v/>
      </c>
    </row>
    <row r="62" spans="2:2" x14ac:dyDescent="0.25">
      <c r="B62" t="str">
        <f>IFERROR(VLOOKUP(A62,STOCK!C:F,4,FALSE),"")</f>
        <v/>
      </c>
    </row>
    <row r="63" spans="2:2" x14ac:dyDescent="0.25">
      <c r="B63" t="str">
        <f>IFERROR(VLOOKUP(A63,STOCK!C:F,4,FALSE),"")</f>
        <v/>
      </c>
    </row>
    <row r="64" spans="2:2" x14ac:dyDescent="0.25">
      <c r="B64" t="str">
        <f>IFERROR(VLOOKUP(A64,STOCK!C:F,4,FALSE),"")</f>
        <v/>
      </c>
    </row>
    <row r="65" spans="2:2" x14ac:dyDescent="0.25">
      <c r="B65" t="str">
        <f>IFERROR(VLOOKUP(A65,STOCK!C:F,4,FALSE),"")</f>
        <v/>
      </c>
    </row>
    <row r="66" spans="2:2" x14ac:dyDescent="0.25">
      <c r="B66" t="str">
        <f>IFERROR(VLOOKUP(A66,STOCK!C:F,4,FALSE),"")</f>
        <v/>
      </c>
    </row>
    <row r="67" spans="2:2" x14ac:dyDescent="0.25">
      <c r="B67" t="str">
        <f>IFERROR(VLOOKUP(A67,STOCK!C:F,4,FALSE),"")</f>
        <v/>
      </c>
    </row>
    <row r="68" spans="2:2" x14ac:dyDescent="0.25">
      <c r="B68" t="str">
        <f>IFERROR(VLOOKUP(A68,STOCK!C:F,4,FALSE),"")</f>
        <v/>
      </c>
    </row>
    <row r="69" spans="2:2" x14ac:dyDescent="0.25">
      <c r="B69" t="str">
        <f>IFERROR(VLOOKUP(A69,STOCK!C:F,4,FALSE),"")</f>
        <v/>
      </c>
    </row>
    <row r="70" spans="2:2" x14ac:dyDescent="0.25">
      <c r="B70" t="str">
        <f>IFERROR(VLOOKUP(A70,STOCK!C:F,4,FALSE),"")</f>
        <v/>
      </c>
    </row>
    <row r="71" spans="2:2" x14ac:dyDescent="0.25">
      <c r="B71" t="str">
        <f>IFERROR(VLOOKUP(A71,STOCK!C:F,4,FALSE),"")</f>
        <v/>
      </c>
    </row>
    <row r="72" spans="2:2" x14ac:dyDescent="0.25">
      <c r="B72" t="str">
        <f>IFERROR(VLOOKUP(A72,STOCK!C:F,4,FALSE),"")</f>
        <v/>
      </c>
    </row>
    <row r="73" spans="2:2" x14ac:dyDescent="0.25">
      <c r="B73" t="str">
        <f>IFERROR(VLOOKUP(A73,STOCK!C:F,4,FALSE),"")</f>
        <v/>
      </c>
    </row>
    <row r="74" spans="2:2" x14ac:dyDescent="0.25">
      <c r="B74" t="str">
        <f>IFERROR(VLOOKUP(A74,STOCK!C:F,4,FALSE),"")</f>
        <v/>
      </c>
    </row>
    <row r="75" spans="2:2" x14ac:dyDescent="0.25">
      <c r="B75" t="str">
        <f>IFERROR(VLOOKUP(A75,STOCK!C:F,4,FALSE),"")</f>
        <v/>
      </c>
    </row>
    <row r="76" spans="2:2" x14ac:dyDescent="0.25">
      <c r="B76" t="str">
        <f>IFERROR(VLOOKUP(A76,STOCK!C:F,4,FALSE),"")</f>
        <v/>
      </c>
    </row>
    <row r="77" spans="2:2" x14ac:dyDescent="0.25">
      <c r="B77" t="str">
        <f>IFERROR(VLOOKUP(A77,STOCK!C:F,4,FALSE),"")</f>
        <v/>
      </c>
    </row>
    <row r="78" spans="2:2" x14ac:dyDescent="0.25">
      <c r="B78" t="str">
        <f>IFERROR(VLOOKUP(A78,STOCK!C:F,4,FALSE),"")</f>
        <v/>
      </c>
    </row>
    <row r="79" spans="2:2" x14ac:dyDescent="0.25">
      <c r="B79" t="str">
        <f>IFERROR(VLOOKUP(A79,STOCK!C:F,4,FALSE),"")</f>
        <v/>
      </c>
    </row>
    <row r="80" spans="2:2" x14ac:dyDescent="0.25">
      <c r="B80" t="str">
        <f>IFERROR(VLOOKUP(A80,STOCK!C:F,4,FALSE),"")</f>
        <v/>
      </c>
    </row>
    <row r="81" spans="2:2" x14ac:dyDescent="0.25">
      <c r="B81" t="str">
        <f>IFERROR(VLOOKUP(A81,STOCK!C:F,4,FALSE),"")</f>
        <v/>
      </c>
    </row>
    <row r="82" spans="2:2" x14ac:dyDescent="0.25">
      <c r="B82" t="str">
        <f>IFERROR(VLOOKUP(A82,STOCK!C:F,4,FALSE),"")</f>
        <v/>
      </c>
    </row>
    <row r="83" spans="2:2" x14ac:dyDescent="0.25">
      <c r="B83" t="str">
        <f>IFERROR(VLOOKUP(A83,STOCK!C:F,4,FALSE),"")</f>
        <v/>
      </c>
    </row>
    <row r="84" spans="2:2" x14ac:dyDescent="0.25">
      <c r="B84" t="str">
        <f>IFERROR(VLOOKUP(A84,STOCK!C:F,4,FALSE),"")</f>
        <v/>
      </c>
    </row>
    <row r="85" spans="2:2" x14ac:dyDescent="0.25">
      <c r="B85" t="str">
        <f>IFERROR(VLOOKUP(A85,STOCK!C:F,4,FALSE),"")</f>
        <v/>
      </c>
    </row>
    <row r="86" spans="2:2" x14ac:dyDescent="0.25">
      <c r="B86" t="str">
        <f>IFERROR(VLOOKUP(A86,STOCK!C:F,4,FALSE),"")</f>
        <v/>
      </c>
    </row>
    <row r="87" spans="2:2" x14ac:dyDescent="0.25">
      <c r="B87" t="str">
        <f>IFERROR(VLOOKUP(A87,STOCK!C:F,4,FALSE),"")</f>
        <v/>
      </c>
    </row>
    <row r="88" spans="2:2" x14ac:dyDescent="0.25">
      <c r="B88" t="str">
        <f>IFERROR(VLOOKUP(A88,STOCK!C:F,4,FALSE),"")</f>
        <v/>
      </c>
    </row>
    <row r="89" spans="2:2" x14ac:dyDescent="0.25">
      <c r="B89" t="str">
        <f>IFERROR(VLOOKUP(A89,STOCK!C:F,4,FALSE),"")</f>
        <v/>
      </c>
    </row>
    <row r="90" spans="2:2" x14ac:dyDescent="0.25">
      <c r="B90" t="str">
        <f>IFERROR(VLOOKUP(A90,STOCK!C:F,4,FALSE),"")</f>
        <v/>
      </c>
    </row>
    <row r="91" spans="2:2" x14ac:dyDescent="0.25">
      <c r="B91" t="str">
        <f>IFERROR(VLOOKUP(A91,STOCK!C:F,4,FALSE),"")</f>
        <v/>
      </c>
    </row>
    <row r="92" spans="2:2" x14ac:dyDescent="0.25">
      <c r="B92" t="str">
        <f>IFERROR(VLOOKUP(A92,STOCK!C:F,4,FALSE),"")</f>
        <v/>
      </c>
    </row>
    <row r="93" spans="2:2" x14ac:dyDescent="0.25">
      <c r="B93" t="str">
        <f>IFERROR(VLOOKUP(A93,STOCK!C:F,4,FALSE),"")</f>
        <v/>
      </c>
    </row>
    <row r="94" spans="2:2" x14ac:dyDescent="0.25">
      <c r="B94" t="str">
        <f>IFERROR(VLOOKUP(A94,STOCK!C:F,4,FALSE),"")</f>
        <v/>
      </c>
    </row>
    <row r="95" spans="2:2" x14ac:dyDescent="0.25">
      <c r="B95" t="str">
        <f>IFERROR(VLOOKUP(A95,STOCK!C:F,4,FALSE),"")</f>
        <v/>
      </c>
    </row>
    <row r="96" spans="2:2" x14ac:dyDescent="0.25">
      <c r="B96" t="str">
        <f>IFERROR(VLOOKUP(A96,STOCK!C:F,4,FALSE),"")</f>
        <v/>
      </c>
    </row>
    <row r="97" spans="2:2" x14ac:dyDescent="0.25">
      <c r="B97" t="str">
        <f>IFERROR(VLOOKUP(A97,STOCK!C:F,4,FALSE),"")</f>
        <v/>
      </c>
    </row>
    <row r="98" spans="2:2" x14ac:dyDescent="0.25">
      <c r="B98" t="str">
        <f>IFERROR(VLOOKUP(A98,STOCK!C:F,4,FALSE),"")</f>
        <v/>
      </c>
    </row>
    <row r="99" spans="2:2" x14ac:dyDescent="0.25">
      <c r="B99" t="str">
        <f>IFERROR(VLOOKUP(A99,STOCK!C:F,4,FALSE),"")</f>
        <v/>
      </c>
    </row>
    <row r="100" spans="2:2" x14ac:dyDescent="0.25">
      <c r="B100" t="str">
        <f>IFERROR(VLOOKUP(A100,STOCK!C:F,4,FALSE),"")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12432-0C04-4403-B327-3741E00E2ACD}">
  <dimension ref="A1:J100"/>
  <sheetViews>
    <sheetView workbookViewId="0">
      <selection activeCell="B1" sqref="B1:D1048576"/>
    </sheetView>
  </sheetViews>
  <sheetFormatPr defaultRowHeight="15" x14ac:dyDescent="0.25"/>
  <cols>
    <col min="1" max="1" width="30.42578125" bestFit="1" customWidth="1"/>
    <col min="2" max="2" width="10.5703125" bestFit="1" customWidth="1"/>
  </cols>
  <sheetData>
    <row r="1" spans="1:10" x14ac:dyDescent="0.25">
      <c r="A1" s="2" t="s">
        <v>119</v>
      </c>
      <c r="B1" s="2" t="s">
        <v>120</v>
      </c>
      <c r="J1" t="s">
        <v>117</v>
      </c>
    </row>
    <row r="2" spans="1:10" x14ac:dyDescent="0.25">
      <c r="A2" t="str" cm="1">
        <f t="array" ref="A2:A30">_xlfn._xlws.FILTER(STOCK!C:C,(STOCK!A:A=J2)+(STOCK!A:A=karar!J3))</f>
        <v>ZCNCT3PACK</v>
      </c>
      <c r="B2">
        <f>IFERROR(VLOOKUP(A2,STOCK!C:F,4,FALSE),"")</f>
        <v>1537</v>
      </c>
      <c r="J2" t="s">
        <v>49</v>
      </c>
    </row>
    <row r="3" spans="1:10" x14ac:dyDescent="0.25">
      <c r="A3" t="str">
        <v>QRESIM</v>
      </c>
      <c r="B3">
        <f>IFERROR(VLOOKUP(A3,STOCK!C:F,4,FALSE),"")</f>
        <v>30</v>
      </c>
      <c r="J3" t="s">
        <v>2</v>
      </c>
    </row>
    <row r="4" spans="1:10" x14ac:dyDescent="0.25">
      <c r="A4" t="str">
        <v>EZINF2PPPACK</v>
      </c>
      <c r="B4">
        <f>IFERROR(VLOOKUP(A4,STOCK!C:F,4,FALSE),"")</f>
        <v>44</v>
      </c>
    </row>
    <row r="5" spans="1:10" x14ac:dyDescent="0.25">
      <c r="A5" t="str">
        <v>EZINF2GPPACK</v>
      </c>
      <c r="B5">
        <f>IFERROR(VLOOKUP(A5,STOCK!C:F,4,FALSE),"")</f>
        <v>7</v>
      </c>
    </row>
    <row r="6" spans="1:10" x14ac:dyDescent="0.25">
      <c r="A6" t="str">
        <v>SIMSWAP</v>
      </c>
      <c r="B6">
        <f>IFERROR(VLOOKUP(A6,STOCK!C:F,4,FALSE),"")</f>
        <v>1096</v>
      </c>
    </row>
    <row r="7" spans="1:10" x14ac:dyDescent="0.25">
      <c r="A7" t="str">
        <v>FINGER PRINT</v>
      </c>
      <c r="B7">
        <f>IFERROR(VLOOKUP(A7,STOCK!C:F,4,FALSE),"")</f>
        <v>38</v>
      </c>
    </row>
    <row r="8" spans="1:10" x14ac:dyDescent="0.25">
      <c r="A8" t="str">
        <v>ZCNCTRES2SIM</v>
      </c>
      <c r="B8">
        <f>IFERROR(VLOOKUP(A8,STOCK!C:F,4,FALSE),"")</f>
        <v>47</v>
      </c>
    </row>
    <row r="9" spans="1:10" x14ac:dyDescent="0.25">
      <c r="A9" t="str">
        <v>ZYARADATA3PACK</v>
      </c>
      <c r="B9">
        <f>IFERROR(VLOOKUP(A9,STOCK!C:F,4,FALSE),"")</f>
        <v>6377</v>
      </c>
    </row>
    <row r="10" spans="1:10" x14ac:dyDescent="0.25">
      <c r="A10" t="str">
        <v>EZINF2DPACK</v>
      </c>
      <c r="B10">
        <f>IFERROR(VLOOKUP(A10,STOCK!C:F,4,FALSE),"")</f>
        <v>1</v>
      </c>
    </row>
    <row r="11" spans="1:10" x14ac:dyDescent="0.25">
      <c r="A11" t="str">
        <v>EZYARA15KPACK</v>
      </c>
      <c r="B11">
        <f>IFERROR(VLOOKUP(A11,STOCK!C:F,4,FALSE),"")</f>
        <v>6490</v>
      </c>
    </row>
    <row r="12" spans="1:10" x14ac:dyDescent="0.25">
      <c r="A12" t="str">
        <v>PHONE</v>
      </c>
      <c r="B12">
        <f>IFERROR(VLOOKUP(A12,STOCK!C:F,4,FALSE),"")</f>
        <v>79</v>
      </c>
    </row>
    <row r="13" spans="1:10" x14ac:dyDescent="0.25">
      <c r="A13" t="str">
        <v>ZAINFLEXPACK</v>
      </c>
      <c r="B13">
        <f>IFERROR(VLOOKUP(A13,STOCK!C:F,4,FALSE),"")</f>
        <v>41967</v>
      </c>
    </row>
    <row r="14" spans="1:10" x14ac:dyDescent="0.25">
      <c r="A14" t="str">
        <v>ORYXSIM</v>
      </c>
      <c r="B14">
        <f>IFERROR(VLOOKUP(A14,STOCK!C:F,4,FALSE),"")</f>
        <v>666</v>
      </c>
    </row>
    <row r="15" spans="1:10" x14ac:dyDescent="0.25">
      <c r="A15" t="str">
        <v>MFES</v>
      </c>
      <c r="B15">
        <f>IFERROR(VLOOKUP(A15,STOCK!C:F,4,FALSE),"")</f>
        <v>32</v>
      </c>
    </row>
    <row r="16" spans="1:10" x14ac:dyDescent="0.25">
      <c r="A16" t="str">
        <v xml:space="preserve">EV bulk printer
</v>
      </c>
      <c r="B16">
        <f>IFERROR(VLOOKUP(A16,STOCK!C:F,4,FALSE),"")</f>
        <v>4</v>
      </c>
    </row>
    <row r="17" spans="1:2" x14ac:dyDescent="0.25">
      <c r="A17" t="str">
        <v>EZINF2GPACK</v>
      </c>
      <c r="B17">
        <f>IFERROR(VLOOKUP(A17,STOCK!C:F,4,FALSE),"")</f>
        <v>131</v>
      </c>
    </row>
    <row r="18" spans="1:2" x14ac:dyDescent="0.25">
      <c r="A18" t="str">
        <v>ZAIN CONNECT</v>
      </c>
      <c r="B18">
        <f>IFERROR(VLOOKUP(A18,STOCK!C:F,4,FALSE),"")</f>
        <v>41</v>
      </c>
    </row>
    <row r="19" spans="1:2" x14ac:dyDescent="0.25">
      <c r="A19" t="str">
        <v>RZYARADATA2PACK</v>
      </c>
      <c r="B19">
        <f>IFERROR(VLOOKUP(A19,STOCK!C:F,4,FALSE),"")</f>
        <v>7926</v>
      </c>
    </row>
    <row r="20" spans="1:2" x14ac:dyDescent="0.25">
      <c r="A20" t="str">
        <v>RZYARADATA1PACK</v>
      </c>
      <c r="B20">
        <f>IFERROR(VLOOKUP(A20,STOCK!C:F,4,FALSE),"")</f>
        <v>4132</v>
      </c>
    </row>
    <row r="21" spans="1:2" x14ac:dyDescent="0.25">
      <c r="A21" t="str">
        <v>Bluetooth Printer</v>
      </c>
      <c r="B21">
        <f>IFERROR(VLOOKUP(A21,STOCK!C:F,4,FALSE),"")</f>
        <v>2</v>
      </c>
    </row>
    <row r="22" spans="1:2" x14ac:dyDescent="0.25">
      <c r="A22" t="str">
        <v>EZINF2PACK</v>
      </c>
      <c r="B22">
        <f>IFERROR(VLOOKUP(A22,STOCK!C:F,4,FALSE),"")</f>
        <v>4724</v>
      </c>
    </row>
    <row r="23" spans="1:2" x14ac:dyDescent="0.25">
      <c r="A23" t="str">
        <v>ZCNCTRES1SIM</v>
      </c>
      <c r="B23">
        <f>IFERROR(VLOOKUP(A23,STOCK!C:F,4,FALSE),"")</f>
        <v>140</v>
      </c>
    </row>
    <row r="24" spans="1:2" x14ac:dyDescent="0.25">
      <c r="A24" t="str">
        <v>EZINF2PPACK</v>
      </c>
      <c r="B24">
        <f>IFERROR(VLOOKUP(A24,STOCK!C:F,4,FALSE),"")</f>
        <v>14</v>
      </c>
    </row>
    <row r="25" spans="1:2" x14ac:dyDescent="0.25">
      <c r="A25" t="str">
        <v>New Smart Terminal</v>
      </c>
      <c r="B25">
        <f>IFERROR(VLOOKUP(A25,STOCK!C:F,4,FALSE),"")</f>
        <v>9</v>
      </c>
    </row>
    <row r="26" spans="1:2" x14ac:dyDescent="0.25">
      <c r="A26" t="str">
        <v>zyara</v>
      </c>
      <c r="B26">
        <f>IFERROR(VLOOKUP(A26,STOCK!C:F,4,FALSE),"")</f>
        <v>5197</v>
      </c>
    </row>
    <row r="27" spans="1:2" x14ac:dyDescent="0.25">
      <c r="A27" t="str">
        <v>ZAINFLEXDPACK</v>
      </c>
      <c r="B27">
        <f>IFERROR(VLOOKUP(A27,STOCK!C:F,4,FALSE),"")</f>
        <v>10</v>
      </c>
    </row>
    <row r="28" spans="1:2" x14ac:dyDescent="0.25">
      <c r="A28" t="str">
        <v>EZINF2DPPACK</v>
      </c>
      <c r="B28">
        <f>IFERROR(VLOOKUP(A28,STOCK!C:F,4,FALSE),"")</f>
        <v>1</v>
      </c>
    </row>
    <row r="29" spans="1:2" x14ac:dyDescent="0.25">
      <c r="A29" t="str">
        <v>TABLET</v>
      </c>
      <c r="B29">
        <f>IFERROR(VLOOKUP(A29,STOCK!C:F,4,FALSE),"")</f>
        <v>14</v>
      </c>
    </row>
    <row r="30" spans="1:2" x14ac:dyDescent="0.25">
      <c r="A30" t="str">
        <v>Zain Prime</v>
      </c>
      <c r="B30">
        <f>IFERROR(VLOOKUP(A30,STOCK!C:F,4,FALSE),"")</f>
        <v>109</v>
      </c>
    </row>
    <row r="31" spans="1:2" x14ac:dyDescent="0.25">
      <c r="B31" t="str">
        <f>IFERROR(VLOOKUP(A31,STOCK!C:F,4,FALSE),"")</f>
        <v/>
      </c>
    </row>
    <row r="32" spans="1:2" x14ac:dyDescent="0.25">
      <c r="B32" t="str">
        <f>IFERROR(VLOOKUP(A32,STOCK!C:F,4,FALSE),"")</f>
        <v/>
      </c>
    </row>
    <row r="33" spans="2:2" x14ac:dyDescent="0.25">
      <c r="B33" t="str">
        <f>IFERROR(VLOOKUP(A33,STOCK!C:F,4,FALSE),"")</f>
        <v/>
      </c>
    </row>
    <row r="34" spans="2:2" x14ac:dyDescent="0.25">
      <c r="B34" t="str">
        <f>IFERROR(VLOOKUP(A34,STOCK!C:F,4,FALSE),"")</f>
        <v/>
      </c>
    </row>
    <row r="35" spans="2:2" x14ac:dyDescent="0.25">
      <c r="B35" t="str">
        <f>IFERROR(VLOOKUP(A35,STOCK!C:F,4,FALSE),"")</f>
        <v/>
      </c>
    </row>
    <row r="36" spans="2:2" x14ac:dyDescent="0.25">
      <c r="B36" t="str">
        <f>IFERROR(VLOOKUP(A36,STOCK!C:F,4,FALSE),"")</f>
        <v/>
      </c>
    </row>
    <row r="37" spans="2:2" x14ac:dyDescent="0.25">
      <c r="B37" t="str">
        <f>IFERROR(VLOOKUP(A37,STOCK!C:F,4,FALSE),"")</f>
        <v/>
      </c>
    </row>
    <row r="38" spans="2:2" x14ac:dyDescent="0.25">
      <c r="B38" t="str">
        <f>IFERROR(VLOOKUP(A38,STOCK!C:F,4,FALSE),"")</f>
        <v/>
      </c>
    </row>
    <row r="39" spans="2:2" x14ac:dyDescent="0.25">
      <c r="B39" t="str">
        <f>IFERROR(VLOOKUP(A39,STOCK!C:F,4,FALSE),"")</f>
        <v/>
      </c>
    </row>
    <row r="40" spans="2:2" x14ac:dyDescent="0.25">
      <c r="B40" t="str">
        <f>IFERROR(VLOOKUP(A40,STOCK!C:F,4,FALSE),"")</f>
        <v/>
      </c>
    </row>
    <row r="41" spans="2:2" x14ac:dyDescent="0.25">
      <c r="B41" t="str">
        <f>IFERROR(VLOOKUP(A41,STOCK!C:F,4,FALSE),"")</f>
        <v/>
      </c>
    </row>
    <row r="42" spans="2:2" x14ac:dyDescent="0.25">
      <c r="B42" t="str">
        <f>IFERROR(VLOOKUP(A42,STOCK!C:F,4,FALSE),"")</f>
        <v/>
      </c>
    </row>
    <row r="43" spans="2:2" x14ac:dyDescent="0.25">
      <c r="B43" t="str">
        <f>IFERROR(VLOOKUP(A43,STOCK!C:F,4,FALSE),"")</f>
        <v/>
      </c>
    </row>
    <row r="44" spans="2:2" x14ac:dyDescent="0.25">
      <c r="B44" t="str">
        <f>IFERROR(VLOOKUP(A44,STOCK!C:F,4,FALSE),"")</f>
        <v/>
      </c>
    </row>
    <row r="45" spans="2:2" x14ac:dyDescent="0.25">
      <c r="B45" t="str">
        <f>IFERROR(VLOOKUP(A45,STOCK!C:F,4,FALSE),"")</f>
        <v/>
      </c>
    </row>
    <row r="46" spans="2:2" x14ac:dyDescent="0.25">
      <c r="B46" t="str">
        <f>IFERROR(VLOOKUP(A46,STOCK!C:F,4,FALSE),"")</f>
        <v/>
      </c>
    </row>
    <row r="47" spans="2:2" x14ac:dyDescent="0.25">
      <c r="B47" t="str">
        <f>IFERROR(VLOOKUP(A47,STOCK!C:F,4,FALSE),"")</f>
        <v/>
      </c>
    </row>
    <row r="48" spans="2:2" x14ac:dyDescent="0.25">
      <c r="B48" t="str">
        <f>IFERROR(VLOOKUP(A48,STOCK!C:F,4,FALSE),"")</f>
        <v/>
      </c>
    </row>
    <row r="49" spans="2:2" x14ac:dyDescent="0.25">
      <c r="B49" t="str">
        <f>IFERROR(VLOOKUP(A49,STOCK!C:F,4,FALSE),"")</f>
        <v/>
      </c>
    </row>
    <row r="50" spans="2:2" x14ac:dyDescent="0.25">
      <c r="B50" t="str">
        <f>IFERROR(VLOOKUP(A50,STOCK!C:F,4,FALSE),"")</f>
        <v/>
      </c>
    </row>
    <row r="51" spans="2:2" x14ac:dyDescent="0.25">
      <c r="B51" t="str">
        <f>IFERROR(VLOOKUP(A51,STOCK!C:F,4,FALSE),"")</f>
        <v/>
      </c>
    </row>
    <row r="52" spans="2:2" x14ac:dyDescent="0.25">
      <c r="B52" t="str">
        <f>IFERROR(VLOOKUP(A52,STOCK!C:F,4,FALSE),"")</f>
        <v/>
      </c>
    </row>
    <row r="53" spans="2:2" x14ac:dyDescent="0.25">
      <c r="B53" t="str">
        <f>IFERROR(VLOOKUP(A53,STOCK!C:F,4,FALSE),"")</f>
        <v/>
      </c>
    </row>
    <row r="54" spans="2:2" x14ac:dyDescent="0.25">
      <c r="B54" t="str">
        <f>IFERROR(VLOOKUP(A54,STOCK!C:F,4,FALSE),"")</f>
        <v/>
      </c>
    </row>
    <row r="55" spans="2:2" x14ac:dyDescent="0.25">
      <c r="B55" t="str">
        <f>IFERROR(VLOOKUP(A55,STOCK!C:F,4,FALSE),"")</f>
        <v/>
      </c>
    </row>
    <row r="56" spans="2:2" x14ac:dyDescent="0.25">
      <c r="B56" t="str">
        <f>IFERROR(VLOOKUP(A56,STOCK!C:F,4,FALSE),"")</f>
        <v/>
      </c>
    </row>
    <row r="57" spans="2:2" x14ac:dyDescent="0.25">
      <c r="B57" t="str">
        <f>IFERROR(VLOOKUP(A57,STOCK!C:F,4,FALSE),"")</f>
        <v/>
      </c>
    </row>
    <row r="58" spans="2:2" x14ac:dyDescent="0.25">
      <c r="B58" t="str">
        <f>IFERROR(VLOOKUP(A58,STOCK!C:F,4,FALSE),"")</f>
        <v/>
      </c>
    </row>
    <row r="59" spans="2:2" x14ac:dyDescent="0.25">
      <c r="B59" t="str">
        <f>IFERROR(VLOOKUP(A59,STOCK!C:F,4,FALSE),"")</f>
        <v/>
      </c>
    </row>
    <row r="60" spans="2:2" x14ac:dyDescent="0.25">
      <c r="B60" t="str">
        <f>IFERROR(VLOOKUP(A60,STOCK!C:F,4,FALSE),"")</f>
        <v/>
      </c>
    </row>
    <row r="61" spans="2:2" x14ac:dyDescent="0.25">
      <c r="B61" t="str">
        <f>IFERROR(VLOOKUP(A61,STOCK!C:F,4,FALSE),"")</f>
        <v/>
      </c>
    </row>
    <row r="62" spans="2:2" x14ac:dyDescent="0.25">
      <c r="B62" t="str">
        <f>IFERROR(VLOOKUP(A62,STOCK!C:F,4,FALSE),"")</f>
        <v/>
      </c>
    </row>
    <row r="63" spans="2:2" x14ac:dyDescent="0.25">
      <c r="B63" t="str">
        <f>IFERROR(VLOOKUP(A63,STOCK!C:F,4,FALSE),"")</f>
        <v/>
      </c>
    </row>
    <row r="64" spans="2:2" x14ac:dyDescent="0.25">
      <c r="B64" t="str">
        <f>IFERROR(VLOOKUP(A64,STOCK!C:F,4,FALSE),"")</f>
        <v/>
      </c>
    </row>
    <row r="65" spans="2:2" x14ac:dyDescent="0.25">
      <c r="B65" t="str">
        <f>IFERROR(VLOOKUP(A65,STOCK!C:F,4,FALSE),"")</f>
        <v/>
      </c>
    </row>
    <row r="66" spans="2:2" x14ac:dyDescent="0.25">
      <c r="B66" t="str">
        <f>IFERROR(VLOOKUP(A66,STOCK!C:F,4,FALSE),"")</f>
        <v/>
      </c>
    </row>
    <row r="67" spans="2:2" x14ac:dyDescent="0.25">
      <c r="B67" t="str">
        <f>IFERROR(VLOOKUP(A67,STOCK!C:F,4,FALSE),"")</f>
        <v/>
      </c>
    </row>
    <row r="68" spans="2:2" x14ac:dyDescent="0.25">
      <c r="B68" t="str">
        <f>IFERROR(VLOOKUP(A68,STOCK!C:F,4,FALSE),"")</f>
        <v/>
      </c>
    </row>
    <row r="69" spans="2:2" x14ac:dyDescent="0.25">
      <c r="B69" t="str">
        <f>IFERROR(VLOOKUP(A69,STOCK!C:F,4,FALSE),"")</f>
        <v/>
      </c>
    </row>
    <row r="70" spans="2:2" x14ac:dyDescent="0.25">
      <c r="B70" t="str">
        <f>IFERROR(VLOOKUP(A70,STOCK!C:F,4,FALSE),"")</f>
        <v/>
      </c>
    </row>
    <row r="71" spans="2:2" x14ac:dyDescent="0.25">
      <c r="B71" t="str">
        <f>IFERROR(VLOOKUP(A71,STOCK!C:F,4,FALSE),"")</f>
        <v/>
      </c>
    </row>
    <row r="72" spans="2:2" x14ac:dyDescent="0.25">
      <c r="B72" t="str">
        <f>IFERROR(VLOOKUP(A72,STOCK!C:F,4,FALSE),"")</f>
        <v/>
      </c>
    </row>
    <row r="73" spans="2:2" x14ac:dyDescent="0.25">
      <c r="B73" t="str">
        <f>IFERROR(VLOOKUP(A73,STOCK!C:F,4,FALSE),"")</f>
        <v/>
      </c>
    </row>
    <row r="74" spans="2:2" x14ac:dyDescent="0.25">
      <c r="B74" t="str">
        <f>IFERROR(VLOOKUP(A74,STOCK!C:F,4,FALSE),"")</f>
        <v/>
      </c>
    </row>
    <row r="75" spans="2:2" x14ac:dyDescent="0.25">
      <c r="B75" t="str">
        <f>IFERROR(VLOOKUP(A75,STOCK!C:F,4,FALSE),"")</f>
        <v/>
      </c>
    </row>
    <row r="76" spans="2:2" x14ac:dyDescent="0.25">
      <c r="B76" t="str">
        <f>IFERROR(VLOOKUP(A76,STOCK!C:F,4,FALSE),"")</f>
        <v/>
      </c>
    </row>
    <row r="77" spans="2:2" x14ac:dyDescent="0.25">
      <c r="B77" t="str">
        <f>IFERROR(VLOOKUP(A77,STOCK!C:F,4,FALSE),"")</f>
        <v/>
      </c>
    </row>
    <row r="78" spans="2:2" x14ac:dyDescent="0.25">
      <c r="B78" t="str">
        <f>IFERROR(VLOOKUP(A78,STOCK!C:F,4,FALSE),"")</f>
        <v/>
      </c>
    </row>
    <row r="79" spans="2:2" x14ac:dyDescent="0.25">
      <c r="B79" t="str">
        <f>IFERROR(VLOOKUP(A79,STOCK!C:F,4,FALSE),"")</f>
        <v/>
      </c>
    </row>
    <row r="80" spans="2:2" x14ac:dyDescent="0.25">
      <c r="B80" t="str">
        <f>IFERROR(VLOOKUP(A80,STOCK!C:F,4,FALSE),"")</f>
        <v/>
      </c>
    </row>
    <row r="81" spans="2:2" x14ac:dyDescent="0.25">
      <c r="B81" t="str">
        <f>IFERROR(VLOOKUP(A81,STOCK!C:F,4,FALSE),"")</f>
        <v/>
      </c>
    </row>
    <row r="82" spans="2:2" x14ac:dyDescent="0.25">
      <c r="B82" t="str">
        <f>IFERROR(VLOOKUP(A82,STOCK!C:F,4,FALSE),"")</f>
        <v/>
      </c>
    </row>
    <row r="83" spans="2:2" x14ac:dyDescent="0.25">
      <c r="B83" t="str">
        <f>IFERROR(VLOOKUP(A83,STOCK!C:F,4,FALSE),"")</f>
        <v/>
      </c>
    </row>
    <row r="84" spans="2:2" x14ac:dyDescent="0.25">
      <c r="B84" t="str">
        <f>IFERROR(VLOOKUP(A84,STOCK!C:F,4,FALSE),"")</f>
        <v/>
      </c>
    </row>
    <row r="85" spans="2:2" x14ac:dyDescent="0.25">
      <c r="B85" t="str">
        <f>IFERROR(VLOOKUP(A85,STOCK!C:F,4,FALSE),"")</f>
        <v/>
      </c>
    </row>
    <row r="86" spans="2:2" x14ac:dyDescent="0.25">
      <c r="B86" t="str">
        <f>IFERROR(VLOOKUP(A86,STOCK!C:F,4,FALSE),"")</f>
        <v/>
      </c>
    </row>
    <row r="87" spans="2:2" x14ac:dyDescent="0.25">
      <c r="B87" t="str">
        <f>IFERROR(VLOOKUP(A87,STOCK!C:F,4,FALSE),"")</f>
        <v/>
      </c>
    </row>
    <row r="88" spans="2:2" x14ac:dyDescent="0.25">
      <c r="B88" t="str">
        <f>IFERROR(VLOOKUP(A88,STOCK!C:F,4,FALSE),"")</f>
        <v/>
      </c>
    </row>
    <row r="89" spans="2:2" x14ac:dyDescent="0.25">
      <c r="B89" t="str">
        <f>IFERROR(VLOOKUP(A89,STOCK!C:F,4,FALSE),"")</f>
        <v/>
      </c>
    </row>
    <row r="90" spans="2:2" x14ac:dyDescent="0.25">
      <c r="B90" t="str">
        <f>IFERROR(VLOOKUP(A90,STOCK!C:F,4,FALSE),"")</f>
        <v/>
      </c>
    </row>
    <row r="91" spans="2:2" x14ac:dyDescent="0.25">
      <c r="B91" t="str">
        <f>IFERROR(VLOOKUP(A91,STOCK!C:F,4,FALSE),"")</f>
        <v/>
      </c>
    </row>
    <row r="92" spans="2:2" x14ac:dyDescent="0.25">
      <c r="B92" t="str">
        <f>IFERROR(VLOOKUP(A92,STOCK!C:F,4,FALSE),"")</f>
        <v/>
      </c>
    </row>
    <row r="93" spans="2:2" x14ac:dyDescent="0.25">
      <c r="B93" t="str">
        <f>IFERROR(VLOOKUP(A93,STOCK!C:F,4,FALSE),"")</f>
        <v/>
      </c>
    </row>
    <row r="94" spans="2:2" x14ac:dyDescent="0.25">
      <c r="B94" t="str">
        <f>IFERROR(VLOOKUP(A94,STOCK!C:F,4,FALSE),"")</f>
        <v/>
      </c>
    </row>
    <row r="95" spans="2:2" x14ac:dyDescent="0.25">
      <c r="B95" t="str">
        <f>IFERROR(VLOOKUP(A95,STOCK!C:F,4,FALSE),"")</f>
        <v/>
      </c>
    </row>
    <row r="96" spans="2:2" x14ac:dyDescent="0.25">
      <c r="B96" t="str">
        <f>IFERROR(VLOOKUP(A96,STOCK!C:F,4,FALSE),"")</f>
        <v/>
      </c>
    </row>
    <row r="97" spans="2:2" x14ac:dyDescent="0.25">
      <c r="B97" t="str">
        <f>IFERROR(VLOOKUP(A97,STOCK!C:F,4,FALSE),"")</f>
        <v/>
      </c>
    </row>
    <row r="98" spans="2:2" x14ac:dyDescent="0.25">
      <c r="B98" t="str">
        <f>IFERROR(VLOOKUP(A98,STOCK!C:F,4,FALSE),"")</f>
        <v/>
      </c>
    </row>
    <row r="99" spans="2:2" x14ac:dyDescent="0.25">
      <c r="B99" t="str">
        <f>IFERROR(VLOOKUP(A99,STOCK!C:F,4,FALSE),"")</f>
        <v/>
      </c>
    </row>
    <row r="100" spans="2:2" x14ac:dyDescent="0.25">
      <c r="B100" t="str">
        <f>IFERROR(VLOOKUP(A100,STOCK!C:F,4,FALSE),"")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4B06-747C-4790-90F2-A2EFF10A4B39}">
  <dimension ref="A1:K171"/>
  <sheetViews>
    <sheetView workbookViewId="0">
      <selection activeCell="I12" sqref="I12"/>
    </sheetView>
  </sheetViews>
  <sheetFormatPr defaultRowHeight="15" x14ac:dyDescent="0.25"/>
  <cols>
    <col min="1" max="1" width="22.140625" bestFit="1" customWidth="1"/>
    <col min="2" max="2" width="13.28515625" bestFit="1" customWidth="1"/>
    <col min="3" max="3" width="28.28515625" bestFit="1" customWidth="1"/>
    <col min="6" max="6" width="7" bestFit="1" customWidth="1"/>
  </cols>
  <sheetData>
    <row r="1" spans="1:11" x14ac:dyDescent="0.25">
      <c r="A1" s="1" t="s">
        <v>117</v>
      </c>
      <c r="C1" s="1" t="s">
        <v>116</v>
      </c>
      <c r="F1" s="1" t="s">
        <v>118</v>
      </c>
    </row>
    <row r="2" spans="1:11" x14ac:dyDescent="0.25">
      <c r="A2" t="s">
        <v>49</v>
      </c>
      <c r="B2" t="s">
        <v>121</v>
      </c>
      <c r="C2" t="s">
        <v>74</v>
      </c>
      <c r="F2">
        <v>1537</v>
      </c>
      <c r="K2" s="3"/>
    </row>
    <row r="3" spans="1:11" x14ac:dyDescent="0.25">
      <c r="A3" t="s">
        <v>122</v>
      </c>
      <c r="B3" t="s">
        <v>123</v>
      </c>
      <c r="C3" t="s">
        <v>124</v>
      </c>
      <c r="F3">
        <v>1</v>
      </c>
      <c r="K3" s="3"/>
    </row>
    <row r="4" spans="1:11" x14ac:dyDescent="0.25">
      <c r="A4" t="s">
        <v>125</v>
      </c>
      <c r="B4" t="s">
        <v>126</v>
      </c>
      <c r="C4" t="s">
        <v>127</v>
      </c>
      <c r="F4">
        <v>20</v>
      </c>
    </row>
    <row r="5" spans="1:11" x14ac:dyDescent="0.25">
      <c r="A5" t="s">
        <v>49</v>
      </c>
      <c r="B5" t="s">
        <v>128</v>
      </c>
      <c r="C5" t="s">
        <v>95</v>
      </c>
      <c r="F5">
        <v>30</v>
      </c>
    </row>
    <row r="6" spans="1:11" x14ac:dyDescent="0.25">
      <c r="A6" t="s">
        <v>129</v>
      </c>
      <c r="B6" t="s">
        <v>130</v>
      </c>
      <c r="C6" t="s">
        <v>131</v>
      </c>
      <c r="F6">
        <v>2</v>
      </c>
    </row>
    <row r="7" spans="1:11" x14ac:dyDescent="0.25">
      <c r="A7" t="s">
        <v>8</v>
      </c>
      <c r="B7" t="s">
        <v>132</v>
      </c>
      <c r="C7" t="s">
        <v>25</v>
      </c>
      <c r="F7">
        <v>5690</v>
      </c>
    </row>
    <row r="8" spans="1:11" x14ac:dyDescent="0.25">
      <c r="A8" t="s">
        <v>122</v>
      </c>
      <c r="B8" t="s">
        <v>133</v>
      </c>
      <c r="C8" t="s">
        <v>134</v>
      </c>
      <c r="F8">
        <v>13</v>
      </c>
    </row>
    <row r="9" spans="1:11" x14ac:dyDescent="0.25">
      <c r="A9" t="s">
        <v>8</v>
      </c>
      <c r="B9" t="s">
        <v>135</v>
      </c>
      <c r="C9" t="s">
        <v>31</v>
      </c>
      <c r="F9">
        <v>60</v>
      </c>
    </row>
    <row r="10" spans="1:11" x14ac:dyDescent="0.25">
      <c r="A10" t="s">
        <v>122</v>
      </c>
      <c r="B10" t="s">
        <v>136</v>
      </c>
      <c r="C10" t="s">
        <v>137</v>
      </c>
      <c r="F10">
        <v>20</v>
      </c>
    </row>
    <row r="11" spans="1:11" x14ac:dyDescent="0.25">
      <c r="A11" t="s">
        <v>104</v>
      </c>
      <c r="B11" t="s">
        <v>138</v>
      </c>
      <c r="C11" t="s">
        <v>113</v>
      </c>
      <c r="F11">
        <v>15</v>
      </c>
    </row>
    <row r="12" spans="1:11" x14ac:dyDescent="0.25">
      <c r="A12" t="s">
        <v>122</v>
      </c>
      <c r="B12" t="s">
        <v>139</v>
      </c>
      <c r="C12" t="s">
        <v>140</v>
      </c>
      <c r="F12">
        <v>1</v>
      </c>
    </row>
    <row r="13" spans="1:11" x14ac:dyDescent="0.25">
      <c r="A13" t="s">
        <v>141</v>
      </c>
      <c r="B13" t="s">
        <v>142</v>
      </c>
      <c r="C13" t="s">
        <v>143</v>
      </c>
      <c r="F13">
        <v>125</v>
      </c>
    </row>
    <row r="14" spans="1:11" x14ac:dyDescent="0.25">
      <c r="A14" t="s">
        <v>8</v>
      </c>
      <c r="B14" t="s">
        <v>144</v>
      </c>
      <c r="C14" t="s">
        <v>29</v>
      </c>
      <c r="F14">
        <v>127</v>
      </c>
    </row>
    <row r="15" spans="1:11" x14ac:dyDescent="0.25">
      <c r="A15" t="s">
        <v>8</v>
      </c>
      <c r="B15" t="s">
        <v>145</v>
      </c>
      <c r="C15" t="s">
        <v>14</v>
      </c>
      <c r="F15">
        <v>5264</v>
      </c>
    </row>
    <row r="16" spans="1:11" x14ac:dyDescent="0.25">
      <c r="A16" t="s">
        <v>35</v>
      </c>
      <c r="B16" t="s">
        <v>146</v>
      </c>
      <c r="C16" t="s">
        <v>34</v>
      </c>
      <c r="F16">
        <v>9871</v>
      </c>
    </row>
    <row r="17" spans="1:6" x14ac:dyDescent="0.25">
      <c r="A17" t="s">
        <v>8</v>
      </c>
      <c r="B17" t="s">
        <v>147</v>
      </c>
      <c r="C17" t="s">
        <v>30</v>
      </c>
      <c r="F17">
        <v>98</v>
      </c>
    </row>
    <row r="18" spans="1:6" x14ac:dyDescent="0.25">
      <c r="A18" t="s">
        <v>35</v>
      </c>
      <c r="B18" t="s">
        <v>148</v>
      </c>
      <c r="C18" t="s">
        <v>36</v>
      </c>
      <c r="F18">
        <v>8478</v>
      </c>
    </row>
    <row r="19" spans="1:6" x14ac:dyDescent="0.25">
      <c r="A19" t="s">
        <v>49</v>
      </c>
      <c r="B19" t="s">
        <v>149</v>
      </c>
      <c r="C19" t="s">
        <v>56</v>
      </c>
      <c r="F19">
        <v>44</v>
      </c>
    </row>
    <row r="20" spans="1:6" x14ac:dyDescent="0.25">
      <c r="A20" t="s">
        <v>8</v>
      </c>
      <c r="B20" t="s">
        <v>150</v>
      </c>
      <c r="C20" t="s">
        <v>15</v>
      </c>
      <c r="F20">
        <v>742</v>
      </c>
    </row>
    <row r="21" spans="1:6" x14ac:dyDescent="0.25">
      <c r="A21" t="s">
        <v>8</v>
      </c>
      <c r="B21" t="s">
        <v>151</v>
      </c>
      <c r="C21" t="s">
        <v>13</v>
      </c>
      <c r="F21">
        <v>7594</v>
      </c>
    </row>
    <row r="22" spans="1:6" x14ac:dyDescent="0.25">
      <c r="A22" t="s">
        <v>8</v>
      </c>
      <c r="B22" t="s">
        <v>152</v>
      </c>
      <c r="C22" t="s">
        <v>22</v>
      </c>
      <c r="F22">
        <v>1608</v>
      </c>
    </row>
    <row r="23" spans="1:6" x14ac:dyDescent="0.25">
      <c r="A23" t="s">
        <v>8</v>
      </c>
      <c r="B23" t="s">
        <v>153</v>
      </c>
      <c r="C23" t="s">
        <v>16</v>
      </c>
      <c r="F23">
        <v>561</v>
      </c>
    </row>
    <row r="24" spans="1:6" x14ac:dyDescent="0.25">
      <c r="A24" t="s">
        <v>8</v>
      </c>
      <c r="B24" t="s">
        <v>154</v>
      </c>
      <c r="C24" t="s">
        <v>9</v>
      </c>
      <c r="F24">
        <v>31722</v>
      </c>
    </row>
    <row r="25" spans="1:6" x14ac:dyDescent="0.25">
      <c r="A25" t="s">
        <v>49</v>
      </c>
      <c r="B25" t="s">
        <v>155</v>
      </c>
      <c r="C25" t="s">
        <v>54</v>
      </c>
      <c r="F25">
        <v>7</v>
      </c>
    </row>
    <row r="26" spans="1:6" x14ac:dyDescent="0.25">
      <c r="A26" t="s">
        <v>104</v>
      </c>
      <c r="B26" t="s">
        <v>156</v>
      </c>
      <c r="C26" t="s">
        <v>107</v>
      </c>
      <c r="F26">
        <v>122</v>
      </c>
    </row>
    <row r="27" spans="1:6" x14ac:dyDescent="0.25">
      <c r="A27" t="s">
        <v>8</v>
      </c>
      <c r="B27" t="s">
        <v>157</v>
      </c>
      <c r="C27" t="s">
        <v>11</v>
      </c>
      <c r="F27">
        <v>86298</v>
      </c>
    </row>
    <row r="28" spans="1:6" x14ac:dyDescent="0.25">
      <c r="A28" t="s">
        <v>49</v>
      </c>
      <c r="B28" t="s">
        <v>158</v>
      </c>
      <c r="C28" t="s">
        <v>50</v>
      </c>
      <c r="F28">
        <v>1096</v>
      </c>
    </row>
    <row r="29" spans="1:6" x14ac:dyDescent="0.25">
      <c r="A29" t="s">
        <v>2</v>
      </c>
      <c r="B29" t="s">
        <v>159</v>
      </c>
      <c r="C29" t="s">
        <v>3</v>
      </c>
      <c r="F29">
        <v>38</v>
      </c>
    </row>
    <row r="30" spans="1:6" x14ac:dyDescent="0.25">
      <c r="A30" t="s">
        <v>160</v>
      </c>
      <c r="B30" t="s">
        <v>161</v>
      </c>
      <c r="C30" t="s">
        <v>162</v>
      </c>
      <c r="F30">
        <v>5</v>
      </c>
    </row>
    <row r="31" spans="1:6" x14ac:dyDescent="0.25">
      <c r="A31" t="s">
        <v>8</v>
      </c>
      <c r="B31" t="s">
        <v>163</v>
      </c>
      <c r="C31" t="s">
        <v>19</v>
      </c>
      <c r="F31">
        <v>67</v>
      </c>
    </row>
    <row r="32" spans="1:6" x14ac:dyDescent="0.25">
      <c r="A32" t="s">
        <v>8</v>
      </c>
      <c r="B32" t="s">
        <v>164</v>
      </c>
      <c r="C32" t="s">
        <v>24</v>
      </c>
      <c r="F32">
        <v>171</v>
      </c>
    </row>
    <row r="33" spans="1:6" x14ac:dyDescent="0.25">
      <c r="A33" t="s">
        <v>104</v>
      </c>
      <c r="B33" t="s">
        <v>165</v>
      </c>
      <c r="C33" t="s">
        <v>112</v>
      </c>
      <c r="F33">
        <v>146</v>
      </c>
    </row>
    <row r="34" spans="1:6" x14ac:dyDescent="0.25">
      <c r="A34" t="s">
        <v>122</v>
      </c>
      <c r="B34" t="s">
        <v>166</v>
      </c>
      <c r="C34" t="s">
        <v>167</v>
      </c>
      <c r="F34">
        <v>27</v>
      </c>
    </row>
    <row r="35" spans="1:6" x14ac:dyDescent="0.25">
      <c r="A35" t="s">
        <v>35</v>
      </c>
      <c r="B35" t="s">
        <v>168</v>
      </c>
      <c r="C35" t="s">
        <v>39</v>
      </c>
      <c r="F35">
        <v>40</v>
      </c>
    </row>
    <row r="36" spans="1:6" x14ac:dyDescent="0.25">
      <c r="A36" t="s">
        <v>125</v>
      </c>
      <c r="B36" t="s">
        <v>169</v>
      </c>
      <c r="C36" t="s">
        <v>170</v>
      </c>
      <c r="F36">
        <v>37</v>
      </c>
    </row>
    <row r="37" spans="1:6" x14ac:dyDescent="0.25">
      <c r="A37" t="s">
        <v>129</v>
      </c>
      <c r="B37" t="s">
        <v>171</v>
      </c>
      <c r="C37" t="s">
        <v>172</v>
      </c>
      <c r="F37">
        <v>4</v>
      </c>
    </row>
    <row r="38" spans="1:6" x14ac:dyDescent="0.25">
      <c r="A38" t="s">
        <v>49</v>
      </c>
      <c r="B38" t="s">
        <v>173</v>
      </c>
      <c r="C38" t="s">
        <v>73</v>
      </c>
      <c r="F38">
        <v>47</v>
      </c>
    </row>
    <row r="39" spans="1:6" x14ac:dyDescent="0.25">
      <c r="A39" t="s">
        <v>49</v>
      </c>
      <c r="B39" t="s">
        <v>174</v>
      </c>
      <c r="C39" t="s">
        <v>81</v>
      </c>
      <c r="F39">
        <v>6377</v>
      </c>
    </row>
    <row r="40" spans="1:6" x14ac:dyDescent="0.25">
      <c r="A40" t="s">
        <v>104</v>
      </c>
      <c r="B40" t="s">
        <v>175</v>
      </c>
      <c r="C40" t="s">
        <v>110</v>
      </c>
      <c r="F40">
        <v>33</v>
      </c>
    </row>
    <row r="41" spans="1:6" x14ac:dyDescent="0.25">
      <c r="A41" t="s">
        <v>176</v>
      </c>
      <c r="B41" t="s">
        <v>177</v>
      </c>
      <c r="C41" t="s">
        <v>178</v>
      </c>
      <c r="F41">
        <v>6</v>
      </c>
    </row>
    <row r="42" spans="1:6" x14ac:dyDescent="0.25">
      <c r="A42" t="s">
        <v>179</v>
      </c>
      <c r="B42" t="s">
        <v>180</v>
      </c>
      <c r="C42" t="s">
        <v>181</v>
      </c>
      <c r="F42">
        <v>3</v>
      </c>
    </row>
    <row r="43" spans="1:6" x14ac:dyDescent="0.25">
      <c r="A43" t="s">
        <v>35</v>
      </c>
      <c r="B43" t="s">
        <v>182</v>
      </c>
      <c r="C43" t="s">
        <v>43</v>
      </c>
      <c r="F43">
        <v>25</v>
      </c>
    </row>
    <row r="44" spans="1:6" x14ac:dyDescent="0.25">
      <c r="A44" t="s">
        <v>49</v>
      </c>
      <c r="B44" t="s">
        <v>183</v>
      </c>
      <c r="C44" t="s">
        <v>52</v>
      </c>
      <c r="F44">
        <v>1</v>
      </c>
    </row>
    <row r="45" spans="1:6" x14ac:dyDescent="0.25">
      <c r="A45" t="s">
        <v>49</v>
      </c>
      <c r="B45" t="s">
        <v>184</v>
      </c>
      <c r="C45" t="s">
        <v>76</v>
      </c>
      <c r="F45">
        <v>6490</v>
      </c>
    </row>
    <row r="46" spans="1:6" x14ac:dyDescent="0.25">
      <c r="A46" t="s">
        <v>2</v>
      </c>
      <c r="B46" t="s">
        <v>185</v>
      </c>
      <c r="C46" t="s">
        <v>4</v>
      </c>
      <c r="F46">
        <v>79</v>
      </c>
    </row>
    <row r="47" spans="1:6" x14ac:dyDescent="0.25">
      <c r="A47" t="s">
        <v>35</v>
      </c>
      <c r="B47" t="s">
        <v>186</v>
      </c>
      <c r="C47" t="s">
        <v>41</v>
      </c>
      <c r="F47">
        <v>404</v>
      </c>
    </row>
    <row r="48" spans="1:6" x14ac:dyDescent="0.25">
      <c r="A48" t="s">
        <v>104</v>
      </c>
      <c r="B48" t="s">
        <v>187</v>
      </c>
      <c r="C48" t="s">
        <v>115</v>
      </c>
      <c r="F48">
        <v>24</v>
      </c>
    </row>
    <row r="49" spans="1:6" x14ac:dyDescent="0.25">
      <c r="A49" t="s">
        <v>8</v>
      </c>
      <c r="B49" t="s">
        <v>188</v>
      </c>
      <c r="C49" t="s">
        <v>23</v>
      </c>
      <c r="F49">
        <v>320</v>
      </c>
    </row>
    <row r="50" spans="1:6" x14ac:dyDescent="0.25">
      <c r="A50" t="s">
        <v>49</v>
      </c>
      <c r="B50" t="s">
        <v>189</v>
      </c>
      <c r="C50" t="s">
        <v>84</v>
      </c>
      <c r="F50">
        <v>41967</v>
      </c>
    </row>
    <row r="51" spans="1:6" x14ac:dyDescent="0.25">
      <c r="A51" t="s">
        <v>8</v>
      </c>
      <c r="B51" t="s">
        <v>190</v>
      </c>
      <c r="C51" t="s">
        <v>26</v>
      </c>
      <c r="F51">
        <v>3681</v>
      </c>
    </row>
    <row r="52" spans="1:6" x14ac:dyDescent="0.25">
      <c r="A52" t="s">
        <v>49</v>
      </c>
      <c r="B52" t="s">
        <v>191</v>
      </c>
      <c r="C52" t="s">
        <v>59</v>
      </c>
      <c r="F52">
        <v>666</v>
      </c>
    </row>
    <row r="53" spans="1:6" x14ac:dyDescent="0.25">
      <c r="A53" t="s">
        <v>192</v>
      </c>
      <c r="B53" t="s">
        <v>193</v>
      </c>
      <c r="C53" t="s">
        <v>194</v>
      </c>
      <c r="F53">
        <v>5</v>
      </c>
    </row>
    <row r="54" spans="1:6" x14ac:dyDescent="0.25">
      <c r="A54" t="s">
        <v>129</v>
      </c>
      <c r="B54" t="s">
        <v>195</v>
      </c>
      <c r="C54" t="s">
        <v>196</v>
      </c>
      <c r="F54">
        <v>4</v>
      </c>
    </row>
    <row r="55" spans="1:6" x14ac:dyDescent="0.25">
      <c r="A55" t="s">
        <v>35</v>
      </c>
      <c r="B55" t="s">
        <v>197</v>
      </c>
      <c r="C55" t="s">
        <v>44</v>
      </c>
      <c r="F55">
        <v>784</v>
      </c>
    </row>
    <row r="56" spans="1:6" x14ac:dyDescent="0.25">
      <c r="A56" t="s">
        <v>35</v>
      </c>
      <c r="B56" t="s">
        <v>198</v>
      </c>
      <c r="C56" t="s">
        <v>45</v>
      </c>
      <c r="F56">
        <v>331</v>
      </c>
    </row>
    <row r="57" spans="1:6" x14ac:dyDescent="0.25">
      <c r="A57" t="s">
        <v>192</v>
      </c>
      <c r="B57" t="s">
        <v>199</v>
      </c>
      <c r="C57" t="s">
        <v>200</v>
      </c>
      <c r="F57">
        <v>3</v>
      </c>
    </row>
    <row r="58" spans="1:6" x14ac:dyDescent="0.25">
      <c r="A58" t="s">
        <v>49</v>
      </c>
      <c r="B58" t="s">
        <v>201</v>
      </c>
      <c r="C58" t="s">
        <v>60</v>
      </c>
      <c r="F58">
        <v>32</v>
      </c>
    </row>
    <row r="59" spans="1:6" x14ac:dyDescent="0.25">
      <c r="A59" t="s">
        <v>202</v>
      </c>
      <c r="B59" t="s">
        <v>203</v>
      </c>
      <c r="C59" t="s">
        <v>204</v>
      </c>
      <c r="F59">
        <v>3</v>
      </c>
    </row>
    <row r="60" spans="1:6" x14ac:dyDescent="0.25">
      <c r="A60" t="s">
        <v>129</v>
      </c>
      <c r="B60" t="s">
        <v>205</v>
      </c>
      <c r="C60" t="s">
        <v>206</v>
      </c>
      <c r="F60">
        <v>16</v>
      </c>
    </row>
    <row r="61" spans="1:6" x14ac:dyDescent="0.25">
      <c r="A61" t="s">
        <v>129</v>
      </c>
      <c r="B61" t="s">
        <v>207</v>
      </c>
      <c r="C61" t="s">
        <v>208</v>
      </c>
      <c r="F61">
        <v>18</v>
      </c>
    </row>
    <row r="62" spans="1:6" x14ac:dyDescent="0.25">
      <c r="A62" t="s">
        <v>2</v>
      </c>
      <c r="B62" t="s">
        <v>209</v>
      </c>
      <c r="C62" t="s">
        <v>6</v>
      </c>
      <c r="F62">
        <v>4</v>
      </c>
    </row>
    <row r="63" spans="1:6" x14ac:dyDescent="0.25">
      <c r="A63" t="s">
        <v>35</v>
      </c>
      <c r="B63" t="s">
        <v>210</v>
      </c>
      <c r="C63" t="s">
        <v>42</v>
      </c>
      <c r="F63">
        <v>60</v>
      </c>
    </row>
    <row r="64" spans="1:6" x14ac:dyDescent="0.25">
      <c r="A64" t="s">
        <v>211</v>
      </c>
      <c r="B64" t="s">
        <v>212</v>
      </c>
      <c r="C64" t="s">
        <v>213</v>
      </c>
      <c r="F64">
        <v>1</v>
      </c>
    </row>
    <row r="65" spans="1:6" x14ac:dyDescent="0.25">
      <c r="A65" t="s">
        <v>192</v>
      </c>
      <c r="B65" t="s">
        <v>214</v>
      </c>
      <c r="C65" t="s">
        <v>215</v>
      </c>
      <c r="F65">
        <v>3</v>
      </c>
    </row>
    <row r="66" spans="1:6" x14ac:dyDescent="0.25">
      <c r="A66" t="s">
        <v>35</v>
      </c>
      <c r="B66" t="s">
        <v>216</v>
      </c>
      <c r="C66" t="s">
        <v>37</v>
      </c>
      <c r="F66">
        <v>225</v>
      </c>
    </row>
    <row r="67" spans="1:6" x14ac:dyDescent="0.25">
      <c r="A67" t="s">
        <v>49</v>
      </c>
      <c r="B67" t="s">
        <v>217</v>
      </c>
      <c r="C67" t="s">
        <v>57</v>
      </c>
      <c r="F67">
        <v>131</v>
      </c>
    </row>
    <row r="68" spans="1:6" x14ac:dyDescent="0.25">
      <c r="A68" t="s">
        <v>104</v>
      </c>
      <c r="B68" t="s">
        <v>218</v>
      </c>
      <c r="C68" t="s">
        <v>103</v>
      </c>
      <c r="F68">
        <v>192</v>
      </c>
    </row>
    <row r="69" spans="1:6" x14ac:dyDescent="0.25">
      <c r="A69" t="s">
        <v>176</v>
      </c>
      <c r="B69" t="s">
        <v>219</v>
      </c>
      <c r="C69" t="s">
        <v>220</v>
      </c>
      <c r="F69">
        <v>13</v>
      </c>
    </row>
    <row r="70" spans="1:6" x14ac:dyDescent="0.25">
      <c r="A70" t="s">
        <v>49</v>
      </c>
      <c r="B70" t="s">
        <v>221</v>
      </c>
      <c r="C70" t="s">
        <v>48</v>
      </c>
      <c r="F70">
        <v>41</v>
      </c>
    </row>
    <row r="71" spans="1:6" x14ac:dyDescent="0.25">
      <c r="A71" t="s">
        <v>176</v>
      </c>
      <c r="B71" t="s">
        <v>222</v>
      </c>
      <c r="C71" t="s">
        <v>223</v>
      </c>
      <c r="F71">
        <v>2</v>
      </c>
    </row>
    <row r="72" spans="1:6" x14ac:dyDescent="0.25">
      <c r="A72" t="s">
        <v>176</v>
      </c>
      <c r="B72" t="s">
        <v>224</v>
      </c>
      <c r="C72" t="s">
        <v>225</v>
      </c>
      <c r="F72">
        <v>5</v>
      </c>
    </row>
    <row r="73" spans="1:6" x14ac:dyDescent="0.25">
      <c r="A73" t="s">
        <v>160</v>
      </c>
      <c r="B73" t="s">
        <v>226</v>
      </c>
      <c r="C73" t="s">
        <v>227</v>
      </c>
      <c r="F73">
        <v>2</v>
      </c>
    </row>
    <row r="74" spans="1:6" x14ac:dyDescent="0.25">
      <c r="A74" t="s">
        <v>49</v>
      </c>
      <c r="B74" t="s">
        <v>228</v>
      </c>
      <c r="C74" t="s">
        <v>80</v>
      </c>
      <c r="F74">
        <v>7926</v>
      </c>
    </row>
    <row r="75" spans="1:6" x14ac:dyDescent="0.25">
      <c r="A75" t="s">
        <v>35</v>
      </c>
      <c r="B75" t="s">
        <v>229</v>
      </c>
      <c r="C75" t="s">
        <v>47</v>
      </c>
      <c r="F75">
        <v>27</v>
      </c>
    </row>
    <row r="76" spans="1:6" x14ac:dyDescent="0.25">
      <c r="A76" t="s">
        <v>202</v>
      </c>
      <c r="B76" t="s">
        <v>230</v>
      </c>
      <c r="C76" t="s">
        <v>231</v>
      </c>
      <c r="F76">
        <v>2</v>
      </c>
    </row>
    <row r="77" spans="1:6" x14ac:dyDescent="0.25">
      <c r="A77" t="s">
        <v>202</v>
      </c>
      <c r="B77" t="s">
        <v>232</v>
      </c>
      <c r="C77" t="s">
        <v>233</v>
      </c>
      <c r="F77">
        <v>2</v>
      </c>
    </row>
    <row r="78" spans="1:6" x14ac:dyDescent="0.25">
      <c r="A78" t="s">
        <v>49</v>
      </c>
      <c r="B78" t="s">
        <v>234</v>
      </c>
      <c r="C78" t="s">
        <v>79</v>
      </c>
      <c r="F78">
        <v>4132</v>
      </c>
    </row>
    <row r="79" spans="1:6" x14ac:dyDescent="0.25">
      <c r="A79" t="s">
        <v>176</v>
      </c>
      <c r="B79" t="s">
        <v>235</v>
      </c>
      <c r="C79" t="s">
        <v>236</v>
      </c>
      <c r="F79">
        <v>7</v>
      </c>
    </row>
    <row r="80" spans="1:6" x14ac:dyDescent="0.25">
      <c r="A80" t="s">
        <v>125</v>
      </c>
      <c r="B80" t="s">
        <v>237</v>
      </c>
      <c r="C80" t="s">
        <v>238</v>
      </c>
      <c r="F80">
        <v>23</v>
      </c>
    </row>
    <row r="81" spans="1:6" x14ac:dyDescent="0.25">
      <c r="A81" t="s">
        <v>179</v>
      </c>
      <c r="B81" t="s">
        <v>239</v>
      </c>
      <c r="C81" t="s">
        <v>240</v>
      </c>
      <c r="F81">
        <v>2</v>
      </c>
    </row>
    <row r="82" spans="1:6" x14ac:dyDescent="0.25">
      <c r="A82" t="s">
        <v>125</v>
      </c>
      <c r="B82" t="s">
        <v>241</v>
      </c>
      <c r="C82" t="s">
        <v>242</v>
      </c>
      <c r="F82">
        <v>17</v>
      </c>
    </row>
    <row r="83" spans="1:6" x14ac:dyDescent="0.25">
      <c r="A83" t="s">
        <v>160</v>
      </c>
      <c r="B83" t="s">
        <v>243</v>
      </c>
      <c r="C83" t="s">
        <v>244</v>
      </c>
      <c r="F83">
        <v>2</v>
      </c>
    </row>
    <row r="84" spans="1:6" x14ac:dyDescent="0.25">
      <c r="A84" t="s">
        <v>2</v>
      </c>
      <c r="B84" t="s">
        <v>245</v>
      </c>
      <c r="C84" t="s">
        <v>5</v>
      </c>
      <c r="F84">
        <v>2</v>
      </c>
    </row>
    <row r="85" spans="1:6" x14ac:dyDescent="0.25">
      <c r="A85" t="s">
        <v>35</v>
      </c>
      <c r="B85" t="s">
        <v>246</v>
      </c>
      <c r="C85" t="s">
        <v>46</v>
      </c>
      <c r="F85">
        <v>12</v>
      </c>
    </row>
    <row r="86" spans="1:6" x14ac:dyDescent="0.25">
      <c r="A86" t="s">
        <v>8</v>
      </c>
      <c r="B86" t="s">
        <v>247</v>
      </c>
      <c r="C86" t="s">
        <v>21</v>
      </c>
      <c r="F86">
        <v>851</v>
      </c>
    </row>
    <row r="87" spans="1:6" x14ac:dyDescent="0.25">
      <c r="A87" t="s">
        <v>8</v>
      </c>
      <c r="B87" t="s">
        <v>248</v>
      </c>
      <c r="C87" t="s">
        <v>12</v>
      </c>
      <c r="F87">
        <v>15380</v>
      </c>
    </row>
    <row r="88" spans="1:6" x14ac:dyDescent="0.25">
      <c r="A88" t="s">
        <v>8</v>
      </c>
      <c r="B88" t="s">
        <v>249</v>
      </c>
      <c r="C88" t="s">
        <v>10</v>
      </c>
      <c r="F88">
        <v>60272</v>
      </c>
    </row>
    <row r="89" spans="1:6" x14ac:dyDescent="0.25">
      <c r="A89" t="s">
        <v>8</v>
      </c>
      <c r="B89" t="s">
        <v>250</v>
      </c>
      <c r="C89" t="s">
        <v>18</v>
      </c>
      <c r="F89">
        <v>282</v>
      </c>
    </row>
    <row r="90" spans="1:6" x14ac:dyDescent="0.25">
      <c r="A90" t="s">
        <v>33</v>
      </c>
      <c r="B90" t="s">
        <v>251</v>
      </c>
      <c r="C90" t="s">
        <v>33</v>
      </c>
      <c r="F90">
        <v>22820</v>
      </c>
    </row>
    <row r="91" spans="1:6" x14ac:dyDescent="0.25">
      <c r="A91" t="s">
        <v>141</v>
      </c>
      <c r="B91" t="s">
        <v>252</v>
      </c>
      <c r="C91" t="s">
        <v>253</v>
      </c>
      <c r="F91">
        <v>27</v>
      </c>
    </row>
    <row r="92" spans="1:6" x14ac:dyDescent="0.25">
      <c r="A92" t="s">
        <v>8</v>
      </c>
      <c r="B92" t="s">
        <v>254</v>
      </c>
      <c r="C92" t="s">
        <v>32</v>
      </c>
      <c r="F92">
        <v>74</v>
      </c>
    </row>
    <row r="93" spans="1:6" x14ac:dyDescent="0.25">
      <c r="A93" t="s">
        <v>125</v>
      </c>
      <c r="B93" t="s">
        <v>255</v>
      </c>
      <c r="C93" t="s">
        <v>256</v>
      </c>
      <c r="F93">
        <v>1</v>
      </c>
    </row>
    <row r="94" spans="1:6" x14ac:dyDescent="0.25">
      <c r="A94" t="s">
        <v>122</v>
      </c>
      <c r="B94" t="s">
        <v>257</v>
      </c>
      <c r="C94" t="s">
        <v>258</v>
      </c>
      <c r="F94">
        <v>23</v>
      </c>
    </row>
    <row r="95" spans="1:6" x14ac:dyDescent="0.25">
      <c r="A95" t="s">
        <v>49</v>
      </c>
      <c r="B95" t="s">
        <v>259</v>
      </c>
      <c r="C95" t="s">
        <v>58</v>
      </c>
      <c r="F95">
        <v>4724</v>
      </c>
    </row>
    <row r="96" spans="1:6" x14ac:dyDescent="0.25">
      <c r="A96" t="s">
        <v>49</v>
      </c>
      <c r="B96" t="s">
        <v>260</v>
      </c>
      <c r="C96" t="s">
        <v>72</v>
      </c>
      <c r="F96">
        <v>140</v>
      </c>
    </row>
    <row r="97" spans="1:6" x14ac:dyDescent="0.25">
      <c r="A97" t="s">
        <v>8</v>
      </c>
      <c r="B97" t="s">
        <v>261</v>
      </c>
      <c r="C97" t="s">
        <v>27</v>
      </c>
      <c r="F97">
        <v>377</v>
      </c>
    </row>
    <row r="98" spans="1:6" x14ac:dyDescent="0.25">
      <c r="A98" t="s">
        <v>8</v>
      </c>
      <c r="B98" t="s">
        <v>262</v>
      </c>
      <c r="C98" t="s">
        <v>17</v>
      </c>
      <c r="F98">
        <v>201</v>
      </c>
    </row>
    <row r="99" spans="1:6" x14ac:dyDescent="0.25">
      <c r="A99" t="s">
        <v>35</v>
      </c>
      <c r="B99" t="s">
        <v>263</v>
      </c>
      <c r="C99" t="s">
        <v>38</v>
      </c>
      <c r="F99">
        <v>265</v>
      </c>
    </row>
    <row r="100" spans="1:6" x14ac:dyDescent="0.25">
      <c r="A100" t="s">
        <v>49</v>
      </c>
      <c r="B100" t="s">
        <v>264</v>
      </c>
      <c r="C100" t="s">
        <v>55</v>
      </c>
      <c r="F100">
        <v>14</v>
      </c>
    </row>
    <row r="101" spans="1:6" x14ac:dyDescent="0.25">
      <c r="A101" t="s">
        <v>2</v>
      </c>
      <c r="B101" t="s">
        <v>265</v>
      </c>
      <c r="C101" t="s">
        <v>7</v>
      </c>
      <c r="F101">
        <v>9</v>
      </c>
    </row>
    <row r="102" spans="1:6" x14ac:dyDescent="0.25">
      <c r="A102" t="s">
        <v>8</v>
      </c>
      <c r="B102" t="s">
        <v>266</v>
      </c>
      <c r="C102" t="s">
        <v>20</v>
      </c>
      <c r="F102">
        <v>1632</v>
      </c>
    </row>
    <row r="103" spans="1:6" x14ac:dyDescent="0.25">
      <c r="A103" t="s">
        <v>8</v>
      </c>
      <c r="B103" t="s">
        <v>267</v>
      </c>
      <c r="C103" t="s">
        <v>28</v>
      </c>
      <c r="F103">
        <v>672</v>
      </c>
    </row>
    <row r="104" spans="1:6" x14ac:dyDescent="0.25">
      <c r="A104" t="s">
        <v>141</v>
      </c>
      <c r="B104" t="s">
        <v>268</v>
      </c>
      <c r="C104" t="s">
        <v>269</v>
      </c>
      <c r="F104">
        <v>4</v>
      </c>
    </row>
    <row r="105" spans="1:6" x14ac:dyDescent="0.25">
      <c r="A105" t="s">
        <v>49</v>
      </c>
      <c r="B105" t="s">
        <v>270</v>
      </c>
      <c r="C105" t="s">
        <v>51</v>
      </c>
      <c r="F105">
        <v>5197</v>
      </c>
    </row>
    <row r="106" spans="1:6" x14ac:dyDescent="0.25">
      <c r="A106" t="s">
        <v>35</v>
      </c>
      <c r="B106" t="s">
        <v>271</v>
      </c>
      <c r="C106" t="s">
        <v>40</v>
      </c>
      <c r="F106">
        <v>79</v>
      </c>
    </row>
    <row r="107" spans="1:6" x14ac:dyDescent="0.25">
      <c r="A107" t="s">
        <v>160</v>
      </c>
      <c r="B107" t="s">
        <v>272</v>
      </c>
      <c r="C107" t="s">
        <v>273</v>
      </c>
      <c r="F107">
        <v>2</v>
      </c>
    </row>
    <row r="108" spans="1:6" x14ac:dyDescent="0.25">
      <c r="A108" t="s">
        <v>104</v>
      </c>
      <c r="B108" t="s">
        <v>274</v>
      </c>
      <c r="C108" t="s">
        <v>114</v>
      </c>
      <c r="F108">
        <v>28</v>
      </c>
    </row>
    <row r="109" spans="1:6" x14ac:dyDescent="0.25">
      <c r="A109" t="s">
        <v>49</v>
      </c>
      <c r="B109" t="s">
        <v>275</v>
      </c>
      <c r="C109" t="s">
        <v>89</v>
      </c>
      <c r="F109">
        <v>10</v>
      </c>
    </row>
    <row r="110" spans="1:6" x14ac:dyDescent="0.25">
      <c r="A110" t="s">
        <v>49</v>
      </c>
      <c r="B110" t="s">
        <v>276</v>
      </c>
      <c r="C110" t="s">
        <v>53</v>
      </c>
      <c r="F110">
        <v>1</v>
      </c>
    </row>
    <row r="111" spans="1:6" x14ac:dyDescent="0.25">
      <c r="A111" t="s">
        <v>202</v>
      </c>
      <c r="B111" t="s">
        <v>277</v>
      </c>
      <c r="C111" t="s">
        <v>278</v>
      </c>
      <c r="F111">
        <v>2</v>
      </c>
    </row>
    <row r="112" spans="1:6" x14ac:dyDescent="0.25">
      <c r="A112" t="s">
        <v>104</v>
      </c>
      <c r="B112" t="s">
        <v>279</v>
      </c>
      <c r="C112" t="s">
        <v>109</v>
      </c>
      <c r="F112">
        <v>54</v>
      </c>
    </row>
    <row r="113" spans="1:6" x14ac:dyDescent="0.25">
      <c r="A113" t="s">
        <v>192</v>
      </c>
      <c r="B113" t="s">
        <v>280</v>
      </c>
      <c r="C113" t="s">
        <v>281</v>
      </c>
      <c r="F113">
        <v>15</v>
      </c>
    </row>
    <row r="114" spans="1:6" x14ac:dyDescent="0.25">
      <c r="A114" t="s">
        <v>192</v>
      </c>
      <c r="B114" t="s">
        <v>282</v>
      </c>
      <c r="C114" t="s">
        <v>283</v>
      </c>
      <c r="F114">
        <v>1</v>
      </c>
    </row>
    <row r="115" spans="1:6" x14ac:dyDescent="0.25">
      <c r="A115" t="s">
        <v>2</v>
      </c>
      <c r="B115" t="s">
        <v>284</v>
      </c>
      <c r="C115" t="s">
        <v>1</v>
      </c>
      <c r="F115">
        <v>14</v>
      </c>
    </row>
    <row r="116" spans="1:6" x14ac:dyDescent="0.25">
      <c r="A116" t="s">
        <v>192</v>
      </c>
      <c r="B116" t="s">
        <v>285</v>
      </c>
      <c r="C116" t="s">
        <v>286</v>
      </c>
      <c r="F116">
        <v>9</v>
      </c>
    </row>
    <row r="117" spans="1:6" x14ac:dyDescent="0.25">
      <c r="A117" t="s">
        <v>179</v>
      </c>
      <c r="B117" t="s">
        <v>287</v>
      </c>
      <c r="C117" t="s">
        <v>288</v>
      </c>
      <c r="F117">
        <v>1</v>
      </c>
    </row>
    <row r="118" spans="1:6" x14ac:dyDescent="0.25">
      <c r="A118" t="s">
        <v>49</v>
      </c>
      <c r="B118" t="s">
        <v>289</v>
      </c>
      <c r="C118" t="s">
        <v>61</v>
      </c>
      <c r="F118">
        <v>109</v>
      </c>
    </row>
    <row r="119" spans="1:6" x14ac:dyDescent="0.25">
      <c r="A119" t="s">
        <v>290</v>
      </c>
      <c r="F119">
        <v>349123</v>
      </c>
    </row>
    <row r="120" spans="1:6" x14ac:dyDescent="0.25">
      <c r="A120" t="s">
        <v>62</v>
      </c>
      <c r="B120" t="s">
        <v>49</v>
      </c>
      <c r="C120" t="s">
        <v>0</v>
      </c>
    </row>
    <row r="121" spans="1:6" x14ac:dyDescent="0.25">
      <c r="A121" t="s">
        <v>63</v>
      </c>
      <c r="B121" t="s">
        <v>49</v>
      </c>
      <c r="C121" t="s">
        <v>0</v>
      </c>
    </row>
    <row r="122" spans="1:6" x14ac:dyDescent="0.25">
      <c r="A122" t="s">
        <v>64</v>
      </c>
      <c r="B122" t="s">
        <v>49</v>
      </c>
      <c r="C122" t="s">
        <v>0</v>
      </c>
    </row>
    <row r="123" spans="1:6" x14ac:dyDescent="0.25">
      <c r="A123" t="s">
        <v>65</v>
      </c>
      <c r="B123" t="s">
        <v>49</v>
      </c>
      <c r="C123" t="s">
        <v>0</v>
      </c>
    </row>
    <row r="124" spans="1:6" x14ac:dyDescent="0.25">
      <c r="A124" t="s">
        <v>66</v>
      </c>
      <c r="B124" t="s">
        <v>49</v>
      </c>
      <c r="C124" t="s">
        <v>0</v>
      </c>
    </row>
    <row r="125" spans="1:6" x14ac:dyDescent="0.25">
      <c r="A125" t="s">
        <v>67</v>
      </c>
      <c r="B125" t="s">
        <v>49</v>
      </c>
      <c r="C125" t="s">
        <v>0</v>
      </c>
    </row>
    <row r="126" spans="1:6" x14ac:dyDescent="0.25">
      <c r="A126" t="s">
        <v>68</v>
      </c>
      <c r="B126" t="s">
        <v>49</v>
      </c>
      <c r="C126" t="s">
        <v>0</v>
      </c>
    </row>
    <row r="127" spans="1:6" x14ac:dyDescent="0.25">
      <c r="A127" t="s">
        <v>69</v>
      </c>
      <c r="B127" t="s">
        <v>49</v>
      </c>
      <c r="C127" t="s">
        <v>0</v>
      </c>
    </row>
    <row r="128" spans="1:6" x14ac:dyDescent="0.25">
      <c r="A128" t="s">
        <v>70</v>
      </c>
      <c r="B128" t="s">
        <v>49</v>
      </c>
      <c r="C128" t="s">
        <v>0</v>
      </c>
    </row>
    <row r="129" spans="1:3" x14ac:dyDescent="0.25">
      <c r="A129" t="s">
        <v>71</v>
      </c>
      <c r="B129" t="s">
        <v>49</v>
      </c>
      <c r="C129" t="s">
        <v>0</v>
      </c>
    </row>
    <row r="130" spans="1:3" x14ac:dyDescent="0.25">
      <c r="A130" t="s">
        <v>72</v>
      </c>
      <c r="B130" t="s">
        <v>49</v>
      </c>
      <c r="C130">
        <v>140</v>
      </c>
    </row>
    <row r="131" spans="1:3" x14ac:dyDescent="0.25">
      <c r="A131" t="s">
        <v>73</v>
      </c>
      <c r="B131" t="s">
        <v>49</v>
      </c>
      <c r="C131">
        <v>47</v>
      </c>
    </row>
    <row r="132" spans="1:3" x14ac:dyDescent="0.25">
      <c r="A132" t="s">
        <v>74</v>
      </c>
      <c r="B132" t="s">
        <v>49</v>
      </c>
      <c r="C132">
        <v>1540</v>
      </c>
    </row>
    <row r="133" spans="1:3" x14ac:dyDescent="0.25">
      <c r="A133" t="s">
        <v>75</v>
      </c>
      <c r="B133" t="s">
        <v>49</v>
      </c>
      <c r="C133" t="s">
        <v>0</v>
      </c>
    </row>
    <row r="134" spans="1:3" x14ac:dyDescent="0.25">
      <c r="A134" t="s">
        <v>76</v>
      </c>
      <c r="B134" t="s">
        <v>49</v>
      </c>
      <c r="C134">
        <v>6490</v>
      </c>
    </row>
    <row r="135" spans="1:3" x14ac:dyDescent="0.25">
      <c r="A135" t="s">
        <v>77</v>
      </c>
      <c r="B135" t="s">
        <v>49</v>
      </c>
      <c r="C135" t="s">
        <v>0</v>
      </c>
    </row>
    <row r="136" spans="1:3" x14ac:dyDescent="0.25">
      <c r="A136" t="s">
        <v>78</v>
      </c>
      <c r="B136" t="s">
        <v>49</v>
      </c>
      <c r="C136" t="s">
        <v>0</v>
      </c>
    </row>
    <row r="137" spans="1:3" x14ac:dyDescent="0.25">
      <c r="A137" t="s">
        <v>79</v>
      </c>
      <c r="B137" t="s">
        <v>49</v>
      </c>
      <c r="C137">
        <v>4132</v>
      </c>
    </row>
    <row r="138" spans="1:3" x14ac:dyDescent="0.25">
      <c r="A138" t="s">
        <v>80</v>
      </c>
      <c r="B138" t="s">
        <v>49</v>
      </c>
      <c r="C138">
        <v>7926</v>
      </c>
    </row>
    <row r="139" spans="1:3" x14ac:dyDescent="0.25">
      <c r="A139" t="s">
        <v>81</v>
      </c>
      <c r="B139" t="s">
        <v>49</v>
      </c>
      <c r="C139">
        <v>6377</v>
      </c>
    </row>
    <row r="140" spans="1:3" x14ac:dyDescent="0.25">
      <c r="A140" t="s">
        <v>82</v>
      </c>
      <c r="B140" t="s">
        <v>49</v>
      </c>
      <c r="C140" t="s">
        <v>0</v>
      </c>
    </row>
    <row r="141" spans="1:3" x14ac:dyDescent="0.25">
      <c r="A141" t="s">
        <v>83</v>
      </c>
      <c r="B141" t="s">
        <v>49</v>
      </c>
      <c r="C141" t="s">
        <v>0</v>
      </c>
    </row>
    <row r="142" spans="1:3" x14ac:dyDescent="0.25">
      <c r="A142" t="s">
        <v>84</v>
      </c>
      <c r="B142" t="s">
        <v>49</v>
      </c>
      <c r="C142">
        <v>42815</v>
      </c>
    </row>
    <row r="143" spans="1:3" x14ac:dyDescent="0.25">
      <c r="A143" t="s">
        <v>85</v>
      </c>
      <c r="B143" t="s">
        <v>49</v>
      </c>
      <c r="C143" t="s">
        <v>0</v>
      </c>
    </row>
    <row r="144" spans="1:3" x14ac:dyDescent="0.25">
      <c r="A144" t="s">
        <v>86</v>
      </c>
      <c r="B144" t="s">
        <v>49</v>
      </c>
      <c r="C144" t="s">
        <v>0</v>
      </c>
    </row>
    <row r="145" spans="1:3" x14ac:dyDescent="0.25">
      <c r="A145" t="s">
        <v>87</v>
      </c>
      <c r="B145" t="s">
        <v>49</v>
      </c>
      <c r="C145" t="s">
        <v>0</v>
      </c>
    </row>
    <row r="146" spans="1:3" x14ac:dyDescent="0.25">
      <c r="A146" t="s">
        <v>88</v>
      </c>
      <c r="B146" t="s">
        <v>49</v>
      </c>
      <c r="C146" t="s">
        <v>0</v>
      </c>
    </row>
    <row r="147" spans="1:3" x14ac:dyDescent="0.25">
      <c r="A147" t="s">
        <v>89</v>
      </c>
      <c r="B147" t="s">
        <v>49</v>
      </c>
      <c r="C147">
        <v>10</v>
      </c>
    </row>
    <row r="148" spans="1:3" x14ac:dyDescent="0.25">
      <c r="A148" t="s">
        <v>90</v>
      </c>
      <c r="B148" t="s">
        <v>49</v>
      </c>
      <c r="C148" t="s">
        <v>0</v>
      </c>
    </row>
    <row r="149" spans="1:3" x14ac:dyDescent="0.25">
      <c r="A149" t="s">
        <v>91</v>
      </c>
      <c r="B149" t="s">
        <v>49</v>
      </c>
      <c r="C149" t="s">
        <v>0</v>
      </c>
    </row>
    <row r="150" spans="1:3" x14ac:dyDescent="0.25">
      <c r="A150" t="s">
        <v>92</v>
      </c>
      <c r="B150" t="s">
        <v>49</v>
      </c>
      <c r="C150" t="s">
        <v>0</v>
      </c>
    </row>
    <row r="151" spans="1:3" x14ac:dyDescent="0.25">
      <c r="A151" t="s">
        <v>93</v>
      </c>
      <c r="B151" t="s">
        <v>49</v>
      </c>
      <c r="C151" t="s">
        <v>0</v>
      </c>
    </row>
    <row r="152" spans="1:3" x14ac:dyDescent="0.25">
      <c r="A152" t="s">
        <v>94</v>
      </c>
      <c r="B152" t="s">
        <v>49</v>
      </c>
      <c r="C152" t="s">
        <v>0</v>
      </c>
    </row>
    <row r="153" spans="1:3" x14ac:dyDescent="0.25">
      <c r="A153" t="s">
        <v>95</v>
      </c>
      <c r="B153" t="s">
        <v>49</v>
      </c>
      <c r="C153">
        <v>30</v>
      </c>
    </row>
    <row r="154" spans="1:3" x14ac:dyDescent="0.25">
      <c r="A154" t="s">
        <v>96</v>
      </c>
      <c r="B154" t="s">
        <v>97</v>
      </c>
      <c r="C154" t="s">
        <v>0</v>
      </c>
    </row>
    <row r="155" spans="1:3" x14ac:dyDescent="0.25">
      <c r="A155" t="s">
        <v>98</v>
      </c>
      <c r="B155" t="s">
        <v>97</v>
      </c>
      <c r="C155" t="s">
        <v>0</v>
      </c>
    </row>
    <row r="156" spans="1:3" x14ac:dyDescent="0.25">
      <c r="A156" t="s">
        <v>99</v>
      </c>
      <c r="B156" t="s">
        <v>97</v>
      </c>
      <c r="C156" t="s">
        <v>0</v>
      </c>
    </row>
    <row r="157" spans="1:3" x14ac:dyDescent="0.25">
      <c r="A157" t="s">
        <v>100</v>
      </c>
      <c r="B157" t="s">
        <v>97</v>
      </c>
      <c r="C157" t="s">
        <v>0</v>
      </c>
    </row>
    <row r="158" spans="1:3" x14ac:dyDescent="0.25">
      <c r="A158" t="s">
        <v>101</v>
      </c>
      <c r="B158" t="s">
        <v>97</v>
      </c>
      <c r="C158" t="s">
        <v>0</v>
      </c>
    </row>
    <row r="159" spans="1:3" x14ac:dyDescent="0.25">
      <c r="A159" t="s">
        <v>102</v>
      </c>
      <c r="B159" t="s">
        <v>97</v>
      </c>
      <c r="C159" t="s">
        <v>0</v>
      </c>
    </row>
    <row r="160" spans="1:3" x14ac:dyDescent="0.25">
      <c r="A160" t="s">
        <v>103</v>
      </c>
      <c r="B160" t="s">
        <v>104</v>
      </c>
      <c r="C160">
        <v>201</v>
      </c>
    </row>
    <row r="161" spans="1:3" x14ac:dyDescent="0.25">
      <c r="A161" t="s">
        <v>105</v>
      </c>
      <c r="B161" t="s">
        <v>104</v>
      </c>
      <c r="C161" t="s">
        <v>0</v>
      </c>
    </row>
    <row r="162" spans="1:3" x14ac:dyDescent="0.25">
      <c r="A162" t="s">
        <v>106</v>
      </c>
      <c r="B162" t="s">
        <v>104</v>
      </c>
      <c r="C162" t="s">
        <v>0</v>
      </c>
    </row>
    <row r="163" spans="1:3" x14ac:dyDescent="0.25">
      <c r="A163" t="s">
        <v>107</v>
      </c>
      <c r="B163" t="s">
        <v>104</v>
      </c>
      <c r="C163">
        <v>133</v>
      </c>
    </row>
    <row r="164" spans="1:3" x14ac:dyDescent="0.25">
      <c r="A164" t="s">
        <v>108</v>
      </c>
      <c r="B164" t="s">
        <v>104</v>
      </c>
      <c r="C164" t="s">
        <v>0</v>
      </c>
    </row>
    <row r="165" spans="1:3" x14ac:dyDescent="0.25">
      <c r="A165" t="s">
        <v>109</v>
      </c>
      <c r="B165" t="s">
        <v>104</v>
      </c>
      <c r="C165">
        <v>54</v>
      </c>
    </row>
    <row r="166" spans="1:3" x14ac:dyDescent="0.25">
      <c r="A166" t="s">
        <v>110</v>
      </c>
      <c r="B166" t="s">
        <v>104</v>
      </c>
      <c r="C166">
        <v>33</v>
      </c>
    </row>
    <row r="167" spans="1:3" x14ac:dyDescent="0.25">
      <c r="A167" t="s">
        <v>111</v>
      </c>
      <c r="B167" t="s">
        <v>104</v>
      </c>
      <c r="C167" t="s">
        <v>0</v>
      </c>
    </row>
    <row r="168" spans="1:3" x14ac:dyDescent="0.25">
      <c r="A168" t="s">
        <v>112</v>
      </c>
      <c r="B168" t="s">
        <v>104</v>
      </c>
      <c r="C168">
        <v>146</v>
      </c>
    </row>
    <row r="169" spans="1:3" x14ac:dyDescent="0.25">
      <c r="A169" t="s">
        <v>113</v>
      </c>
      <c r="B169" t="s">
        <v>104</v>
      </c>
      <c r="C169">
        <v>15</v>
      </c>
    </row>
    <row r="170" spans="1:3" x14ac:dyDescent="0.25">
      <c r="A170" t="s">
        <v>114</v>
      </c>
      <c r="B170" t="s">
        <v>104</v>
      </c>
      <c r="C170">
        <v>28</v>
      </c>
    </row>
    <row r="171" spans="1:3" x14ac:dyDescent="0.25">
      <c r="A171" t="s">
        <v>115</v>
      </c>
      <c r="B171" t="s">
        <v>104</v>
      </c>
      <c r="C17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ali</vt:lpstr>
      <vt:lpstr>omer</vt:lpstr>
      <vt:lpstr>karar</vt:lpstr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Qais salem</dc:creator>
  <cp:lastModifiedBy>Karar Chasib</cp:lastModifiedBy>
  <dcterms:created xsi:type="dcterms:W3CDTF">2015-06-05T18:17:20Z</dcterms:created>
  <dcterms:modified xsi:type="dcterms:W3CDTF">2026-06-12T14:06:51Z</dcterms:modified>
</cp:coreProperties>
</file>